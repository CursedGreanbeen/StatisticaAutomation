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6eab60d87b86208/Научная работа/Текущие дела/Эксперименты/Госзадание/18.02.26/FST/"/>
    </mc:Choice>
  </mc:AlternateContent>
  <xr:revisionPtr revIDLastSave="74" documentId="14_{2DA29439-8546-4124-BB49-F2D72B1A33D4}" xr6:coauthVersionLast="47" xr6:coauthVersionMax="47" xr10:uidLastSave="{0332A6C1-EE97-4B47-8277-BD2FFDD76918}"/>
  <bookViews>
    <workbookView xWindow="-120" yWindow="-120" windowWidth="29040" windowHeight="15840" activeTab="1" xr2:uid="{FE70FAF7-D111-4917-B23F-980B3DB4E8C4}"/>
  </bookViews>
  <sheets>
    <sheet name="Дизайн" sheetId="6" r:id="rId1"/>
    <sheet name="Результаты stat npar" sheetId="2" r:id="rId2"/>
    <sheet name="Результаты prism" sheetId="9" r:id="rId3"/>
    <sheet name="Выводы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  <c r="G33" i="6"/>
  <c r="H34" i="6" s="1"/>
  <c r="F33" i="6"/>
  <c r="F34" i="6" s="1"/>
  <c r="K26" i="6"/>
  <c r="L27" i="6" s="1"/>
  <c r="J26" i="6"/>
  <c r="J27" i="6" s="1"/>
  <c r="G26" i="6"/>
  <c r="H27" i="6" s="1"/>
  <c r="F26" i="6"/>
  <c r="F27" i="6" s="1"/>
  <c r="K19" i="6"/>
  <c r="L20" i="6" s="1"/>
  <c r="J19" i="6"/>
  <c r="J20" i="6" s="1"/>
  <c r="G19" i="6"/>
  <c r="H20" i="6" s="1"/>
  <c r="F19" i="6"/>
  <c r="H12" i="6"/>
  <c r="K11" i="6"/>
  <c r="L12" i="6" s="1"/>
  <c r="J11" i="6"/>
  <c r="J12" i="6" s="1"/>
  <c r="H11" i="6"/>
  <c r="H10" i="6"/>
  <c r="H9" i="6"/>
  <c r="H8" i="6"/>
  <c r="H7" i="6"/>
  <c r="H6" i="6"/>
  <c r="H5" i="6"/>
  <c r="F20" i="6" l="1"/>
  <c r="J90" i="2"/>
  <c r="J89" i="2"/>
  <c r="J88" i="2"/>
  <c r="J87" i="2"/>
  <c r="J86" i="2"/>
  <c r="J85" i="2"/>
  <c r="J84" i="2"/>
  <c r="E90" i="2"/>
  <c r="E89" i="2"/>
  <c r="E88" i="2"/>
  <c r="E87" i="2"/>
  <c r="E86" i="2"/>
  <c r="E85" i="2"/>
  <c r="E84" i="2"/>
  <c r="J7" i="2" l="1"/>
  <c r="J8" i="2"/>
  <c r="J9" i="2"/>
  <c r="J10" i="2"/>
  <c r="J11" i="2"/>
  <c r="J5" i="2"/>
</calcChain>
</file>

<file path=xl/sharedStrings.xml><?xml version="1.0" encoding="utf-8"?>
<sst xmlns="http://schemas.openxmlformats.org/spreadsheetml/2006/main" count="320" uniqueCount="188">
  <si>
    <t xml:space="preserve"> </t>
  </si>
  <si>
    <t>1_5</t>
  </si>
  <si>
    <t>1_6</t>
  </si>
  <si>
    <t>1_7</t>
  </si>
  <si>
    <t>1_8</t>
  </si>
  <si>
    <t>2_1</t>
  </si>
  <si>
    <t>2_2</t>
  </si>
  <si>
    <t>2_3</t>
  </si>
  <si>
    <t>2_4</t>
  </si>
  <si>
    <t>2_5</t>
  </si>
  <si>
    <t>2_6</t>
  </si>
  <si>
    <t>2_7</t>
  </si>
  <si>
    <t>2_8</t>
  </si>
  <si>
    <t>0_2</t>
  </si>
  <si>
    <t>0_3</t>
  </si>
  <si>
    <t>0_4</t>
  </si>
  <si>
    <t>0_5</t>
  </si>
  <si>
    <t>0_6</t>
  </si>
  <si>
    <t>0_7</t>
  </si>
  <si>
    <t>0_8</t>
  </si>
  <si>
    <t>1_1</t>
  </si>
  <si>
    <t>1_2</t>
  </si>
  <si>
    <t>1_3</t>
  </si>
  <si>
    <t>1_4</t>
  </si>
  <si>
    <t>0_1</t>
  </si>
  <si>
    <t>3_8</t>
  </si>
  <si>
    <t>3_2</t>
  </si>
  <si>
    <t>3_3</t>
  </si>
  <si>
    <t>3_4</t>
  </si>
  <si>
    <t>3_5</t>
  </si>
  <si>
    <t>3_6</t>
  </si>
  <si>
    <t>3_7</t>
  </si>
  <si>
    <t>3_1</t>
  </si>
  <si>
    <t>4_1</t>
  </si>
  <si>
    <t>4_2</t>
  </si>
  <si>
    <t>4_3</t>
  </si>
  <si>
    <t>4_4</t>
  </si>
  <si>
    <t>4_5</t>
  </si>
  <si>
    <t>4_6</t>
  </si>
  <si>
    <t>4_7</t>
  </si>
  <si>
    <t>4_8</t>
  </si>
  <si>
    <t>5_1</t>
  </si>
  <si>
    <t>5_2</t>
  </si>
  <si>
    <t>5_3</t>
  </si>
  <si>
    <t>5_4</t>
  </si>
  <si>
    <t>5_5</t>
  </si>
  <si>
    <t>5_6</t>
  </si>
  <si>
    <t>5_7</t>
  </si>
  <si>
    <t>5_8</t>
  </si>
  <si>
    <t>6_1</t>
  </si>
  <si>
    <t>6_2</t>
  </si>
  <si>
    <t>6_3</t>
  </si>
  <si>
    <t>Первичные данные</t>
  </si>
  <si>
    <t>вылеты</t>
  </si>
  <si>
    <t>Статистика</t>
  </si>
  <si>
    <t>Группа</t>
  </si>
  <si>
    <t>№ мыши</t>
  </si>
  <si>
    <t>Вылетающие значения сохранены</t>
  </si>
  <si>
    <t>Valid N</t>
  </si>
  <si>
    <t>Mean</t>
  </si>
  <si>
    <t>Median</t>
  </si>
  <si>
    <t>% к контролю</t>
  </si>
  <si>
    <t>Min</t>
  </si>
  <si>
    <t>Max</t>
  </si>
  <si>
    <t>Percentile</t>
  </si>
  <si>
    <t>Std. Dev.</t>
  </si>
  <si>
    <t>Standard</t>
  </si>
  <si>
    <t>Критерий</t>
  </si>
  <si>
    <t>Критерий M-W</t>
  </si>
  <si>
    <t>ДИМ</t>
  </si>
  <si>
    <t/>
  </si>
  <si>
    <t>25,00000</t>
  </si>
  <si>
    <t>75,00000</t>
  </si>
  <si>
    <t>Error</t>
  </si>
  <si>
    <t>K-W</t>
  </si>
  <si>
    <t>с контр.</t>
  </si>
  <si>
    <t>с амитр.</t>
  </si>
  <si>
    <t>Контроль</t>
  </si>
  <si>
    <t>Амитриптилин 10 мг/кг</t>
  </si>
  <si>
    <t>* p&lt;0,05 по сравнению с контролем</t>
  </si>
  <si>
    <t>Расчет вылетов ДИМ</t>
  </si>
  <si>
    <t>Группы</t>
  </si>
  <si>
    <t>X1</t>
  </si>
  <si>
    <t>X2</t>
  </si>
  <si>
    <t>X(n-1)</t>
  </si>
  <si>
    <t>t1</t>
  </si>
  <si>
    <t>Xn</t>
  </si>
  <si>
    <t>t2</t>
  </si>
  <si>
    <t xml:space="preserve">Критические значения статистики t1 для проверки сомнительных вариант по ранжированному ряду </t>
  </si>
  <si>
    <t>Проверка наименьшей сомнительной варианты</t>
  </si>
  <si>
    <t>n</t>
  </si>
  <si>
    <t>Уровни значимости α, %</t>
  </si>
  <si>
    <t>Мюллер П , Нойман П , Шторм Р Таблицы по математической статистике - М "Финансы и статистика", 1982</t>
  </si>
  <si>
    <t>Критические значения статистики t2 для проверки сомнительных вариант по ранжированному ряду</t>
  </si>
  <si>
    <t>Проверка наибольшей сомнительной варианты</t>
  </si>
  <si>
    <t>Скрининг</t>
  </si>
  <si>
    <t>M амитриптилина, г/моль</t>
  </si>
  <si>
    <t>M, г/моль</t>
  </si>
  <si>
    <t>экв.доза</t>
  </si>
  <si>
    <r>
      <rPr>
        <b/>
        <sz val="11"/>
        <color theme="1"/>
        <rFont val="Aptos Narrow"/>
        <family val="2"/>
        <charset val="204"/>
        <scheme val="minor"/>
      </rPr>
      <t>Тесты:</t>
    </r>
    <r>
      <rPr>
        <sz val="11"/>
        <color theme="1"/>
        <rFont val="Aptos Narrow"/>
        <family val="2"/>
        <charset val="204"/>
        <scheme val="minor"/>
      </rPr>
      <t xml:space="preserve"> TST, FST, ОП</t>
    </r>
  </si>
  <si>
    <t>Амитриптилин</t>
  </si>
  <si>
    <t>вес мышей</t>
  </si>
  <si>
    <t>V р-ля</t>
  </si>
  <si>
    <t>мг</t>
  </si>
  <si>
    <t>г</t>
  </si>
  <si>
    <t>мл</t>
  </si>
  <si>
    <t>Расчет разведения</t>
  </si>
  <si>
    <t>с</t>
  </si>
  <si>
    <t>Группы (сортировка значений по возрастанию)</t>
  </si>
  <si>
    <t>Транспорированный диапазон (группы по строкам)</t>
  </si>
  <si>
    <t>№ группы</t>
  </si>
  <si>
    <t>Xn-1</t>
  </si>
  <si>
    <t>- вылетов нет</t>
  </si>
  <si>
    <t>Вылетающих значений нет</t>
  </si>
  <si>
    <r>
      <rPr>
        <b/>
        <sz val="11"/>
        <color theme="1"/>
        <rFont val="Aptos Narrow"/>
        <family val="2"/>
        <charset val="204"/>
        <scheme val="minor"/>
      </rPr>
      <t>Животные:</t>
    </r>
    <r>
      <rPr>
        <sz val="11"/>
        <color theme="1"/>
        <rFont val="Aptos Narrow"/>
        <family val="2"/>
        <charset val="204"/>
        <scheme val="minor"/>
      </rPr>
      <t xml:space="preserve"> чистые мыши-самцы, получены 19.12.25</t>
    </r>
  </si>
  <si>
    <t>ШС6</t>
  </si>
  <si>
    <t>ШС7</t>
  </si>
  <si>
    <t>ШС8</t>
  </si>
  <si>
    <r>
      <rPr>
        <b/>
        <sz val="11"/>
        <color theme="1"/>
        <rFont val="Aptos Narrow"/>
        <family val="2"/>
        <charset val="204"/>
        <scheme val="minor"/>
      </rPr>
      <t>Дата эксперимента:</t>
    </r>
    <r>
      <rPr>
        <sz val="11"/>
        <color theme="1"/>
        <rFont val="Aptos Narrow"/>
        <family val="2"/>
        <charset val="204"/>
        <scheme val="minor"/>
      </rPr>
      <t xml:space="preserve"> 18.02.26 (претест FST 17.02.26)</t>
    </r>
  </si>
  <si>
    <t>ШС49</t>
  </si>
  <si>
    <t>Миансерин 20 мг/кг</t>
  </si>
  <si>
    <t>ШС6 13,1 мг/кг</t>
  </si>
  <si>
    <t>ШС7 12,6 мг/кг</t>
  </si>
  <si>
    <t>ШС8 12,0 мг/кг</t>
  </si>
  <si>
    <t>ШС49 13,7 мг/кг</t>
  </si>
  <si>
    <t>Миансерин</t>
  </si>
  <si>
    <t>с мианс.</t>
  </si>
  <si>
    <t>p =0,1693</t>
  </si>
  <si>
    <t>Shapiro-Wilk test</t>
  </si>
  <si>
    <t>Test for normal distribution</t>
  </si>
  <si>
    <t>W</t>
  </si>
  <si>
    <t>P value</t>
  </si>
  <si>
    <t>Passed normality test (alpha=0.05)?</t>
  </si>
  <si>
    <t>Yes</t>
  </si>
  <si>
    <t>P value summary</t>
  </si>
  <si>
    <t>ns</t>
  </si>
  <si>
    <t>Kolmogorov-Smirnov test</t>
  </si>
  <si>
    <t>KS distance</t>
  </si>
  <si>
    <t>N too small</t>
  </si>
  <si>
    <t>&gt;0,1000</t>
  </si>
  <si>
    <t>Number of values</t>
  </si>
  <si>
    <t>Minimum</t>
  </si>
  <si>
    <t>25% Percentile</t>
  </si>
  <si>
    <t>75% Percentile</t>
  </si>
  <si>
    <t>Maximum</t>
  </si>
  <si>
    <t>Range</t>
  </si>
  <si>
    <t>95% CI of median</t>
  </si>
  <si>
    <t>Actual confidence level</t>
  </si>
  <si>
    <t>99,22%</t>
  </si>
  <si>
    <t>75,00%</t>
  </si>
  <si>
    <t>Std. Deviation</t>
  </si>
  <si>
    <t>Std. Error of Mean</t>
  </si>
  <si>
    <t>Lower 95% CI of mean</t>
  </si>
  <si>
    <t>Upper 95% CI of mean</t>
  </si>
  <si>
    <t>Kruskal-Wallis test</t>
  </si>
  <si>
    <t>Exact or approximate P value?</t>
  </si>
  <si>
    <t>Approximate</t>
  </si>
  <si>
    <t>Do the medians vary signif. (P &lt; 0.05)?</t>
  </si>
  <si>
    <t>No</t>
  </si>
  <si>
    <t>Number of groups</t>
  </si>
  <si>
    <t>Kruskal-Wallis statistic</t>
  </si>
  <si>
    <t>Data summary</t>
  </si>
  <si>
    <t>Number of treatments (columns)</t>
  </si>
  <si>
    <t>Number of values (total)</t>
  </si>
  <si>
    <t>Descriptive statistics</t>
  </si>
  <si>
    <t>ANOVA</t>
  </si>
  <si>
    <t>Table Analyzed</t>
  </si>
  <si>
    <t>ДИМ,с столб</t>
  </si>
  <si>
    <t>Column C</t>
  </si>
  <si>
    <t>vs.</t>
  </si>
  <si>
    <t>vs,</t>
  </si>
  <si>
    <t>Column A</t>
  </si>
  <si>
    <t>Mann Whitney test</t>
  </si>
  <si>
    <t>Exact</t>
  </si>
  <si>
    <t>Significantly different (P &lt; 0.05)?</t>
  </si>
  <si>
    <t>One- or two-tailed P value?</t>
  </si>
  <si>
    <t>Two-tailed</t>
  </si>
  <si>
    <t>Sum of ranks in column A,C</t>
  </si>
  <si>
    <t>73 , 63</t>
  </si>
  <si>
    <t>Mann-Whitney U</t>
  </si>
  <si>
    <t>Difference between medians</t>
  </si>
  <si>
    <t>Median of column A</t>
  </si>
  <si>
    <t>207,8, n=8</t>
  </si>
  <si>
    <t>Median of column C</t>
  </si>
  <si>
    <t>184,7, n=8</t>
  </si>
  <si>
    <t>Difference: Actual</t>
  </si>
  <si>
    <t>Difference: Hodges-Lehmann</t>
  </si>
  <si>
    <t>Возможно, будет эффект по ИД, дальше попробовать пересчет по Щетинину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</si>
</sst>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1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charset val="204"/>
      <scheme val="minor"/>
    </font>
    <font>
      <i/>
      <sz val="10"/>
      <color theme="1"/>
      <name val="Aptos Narrow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rgb="FFFF0000"/>
      <name val="Arial"/>
      <family val="2"/>
      <charset val="204"/>
    </font>
    <font>
      <i/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0"/>
      <color indexed="8"/>
      <name val="Arial"/>
      <family val="2"/>
      <charset val="204"/>
    </font>
    <font>
      <b/>
      <sz val="11"/>
      <name val="Aptos Narrow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</font>
    <font>
      <sz val="10"/>
      <name val="Arial"/>
      <charset val="204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0" fillId="0" borderId="0"/>
  </cellStyleXfs>
  <cellXfs count="195">
    <xf numFmtId="0" fontId="0" fillId="0" borderId="0" xfId="0"/>
    <xf numFmtId="0" fontId="4" fillId="2" borderId="0" xfId="1" applyFont="1" applyFill="1"/>
    <xf numFmtId="0" fontId="3" fillId="0" borderId="0" xfId="1"/>
    <xf numFmtId="0" fontId="2" fillId="3" borderId="0" xfId="1" applyFont="1" applyFill="1"/>
    <xf numFmtId="0" fontId="3" fillId="0" borderId="0" xfId="1" applyAlignment="1">
      <alignment horizontal="center"/>
    </xf>
    <xf numFmtId="0" fontId="2" fillId="0" borderId="0" xfId="1" applyFont="1" applyAlignment="1">
      <alignment horizontal="center"/>
    </xf>
    <xf numFmtId="0" fontId="5" fillId="4" borderId="1" xfId="1" applyFont="1" applyFill="1" applyBorder="1" applyAlignment="1">
      <alignment wrapText="1"/>
    </xf>
    <xf numFmtId="0" fontId="6" fillId="0" borderId="2" xfId="1" applyFont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2" fillId="0" borderId="11" xfId="1" applyFont="1" applyBorder="1"/>
    <xf numFmtId="0" fontId="6" fillId="0" borderId="13" xfId="1" applyFont="1" applyBorder="1" applyAlignment="1">
      <alignment horizontal="center"/>
    </xf>
    <xf numFmtId="0" fontId="6" fillId="5" borderId="13" xfId="1" applyFont="1" applyFill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6" fillId="0" borderId="17" xfId="1" applyFont="1" applyBorder="1" applyAlignment="1">
      <alignment horizontal="center"/>
    </xf>
    <xf numFmtId="0" fontId="3" fillId="0" borderId="1" xfId="1" applyBorder="1"/>
    <xf numFmtId="0" fontId="3" fillId="0" borderId="2" xfId="1" applyBorder="1"/>
    <xf numFmtId="0" fontId="2" fillId="0" borderId="2" xfId="1" applyFont="1" applyBorder="1" applyAlignment="1">
      <alignment horizontal="center"/>
    </xf>
    <xf numFmtId="0" fontId="3" fillId="0" borderId="18" xfId="1" applyBorder="1"/>
    <xf numFmtId="0" fontId="3" fillId="0" borderId="22" xfId="1" applyBorder="1"/>
    <xf numFmtId="0" fontId="3" fillId="0" borderId="23" xfId="1" applyBorder="1"/>
    <xf numFmtId="0" fontId="2" fillId="0" borderId="23" xfId="1" applyFont="1" applyBorder="1" applyAlignment="1">
      <alignment horizontal="center"/>
    </xf>
    <xf numFmtId="0" fontId="7" fillId="0" borderId="22" xfId="1" applyFont="1" applyBorder="1" applyAlignment="1">
      <alignment horizontal="left" vertical="center"/>
    </xf>
    <xf numFmtId="1" fontId="7" fillId="0" borderId="23" xfId="1" applyNumberFormat="1" applyFont="1" applyBorder="1" applyAlignment="1">
      <alignment horizontal="left" vertical="center"/>
    </xf>
    <xf numFmtId="164" fontId="7" fillId="0" borderId="23" xfId="1" applyNumberFormat="1" applyFont="1" applyBorder="1" applyAlignment="1">
      <alignment horizontal="center" vertical="center"/>
    </xf>
    <xf numFmtId="164" fontId="6" fillId="5" borderId="23" xfId="1" applyNumberFormat="1" applyFont="1" applyFill="1" applyBorder="1" applyAlignment="1">
      <alignment horizontal="center" vertical="center"/>
    </xf>
    <xf numFmtId="1" fontId="6" fillId="5" borderId="23" xfId="1" applyNumberFormat="1" applyFont="1" applyFill="1" applyBorder="1" applyAlignment="1">
      <alignment horizontal="center" vertical="center"/>
    </xf>
    <xf numFmtId="164" fontId="7" fillId="0" borderId="25" xfId="1" applyNumberFormat="1" applyFont="1" applyBorder="1" applyAlignment="1">
      <alignment horizontal="center" vertical="center"/>
    </xf>
    <xf numFmtId="0" fontId="3" fillId="0" borderId="26" xfId="1" applyBorder="1"/>
    <xf numFmtId="165" fontId="8" fillId="0" borderId="27" xfId="1" applyNumberFormat="1" applyFont="1" applyBorder="1" applyAlignment="1">
      <alignment horizontal="center" vertical="center"/>
    </xf>
    <xf numFmtId="0" fontId="3" fillId="0" borderId="11" xfId="1" applyBorder="1"/>
    <xf numFmtId="0" fontId="3" fillId="0" borderId="13" xfId="1" applyBorder="1"/>
    <xf numFmtId="0" fontId="7" fillId="0" borderId="11" xfId="1" applyFont="1" applyBorder="1" applyAlignment="1">
      <alignment horizontal="left" vertical="center"/>
    </xf>
    <xf numFmtId="1" fontId="7" fillId="0" borderId="13" xfId="1" applyNumberFormat="1" applyFont="1" applyBorder="1" applyAlignment="1">
      <alignment horizontal="left" vertical="center"/>
    </xf>
    <xf numFmtId="164" fontId="7" fillId="0" borderId="13" xfId="1" applyNumberFormat="1" applyFont="1" applyBorder="1" applyAlignment="1">
      <alignment horizontal="center" vertical="center"/>
    </xf>
    <xf numFmtId="164" fontId="6" fillId="5" borderId="13" xfId="1" applyNumberFormat="1" applyFont="1" applyFill="1" applyBorder="1" applyAlignment="1">
      <alignment horizontal="center" vertical="center"/>
    </xf>
    <xf numFmtId="1" fontId="6" fillId="5" borderId="13" xfId="1" applyNumberFormat="1" applyFont="1" applyFill="1" applyBorder="1" applyAlignment="1">
      <alignment horizontal="center" vertical="center"/>
    </xf>
    <xf numFmtId="164" fontId="7" fillId="0" borderId="14" xfId="1" applyNumberFormat="1" applyFont="1" applyBorder="1" applyAlignment="1">
      <alignment horizontal="center" vertical="center"/>
    </xf>
    <xf numFmtId="0" fontId="3" fillId="0" borderId="15" xfId="1" applyBorder="1"/>
    <xf numFmtId="0" fontId="3" fillId="0" borderId="8" xfId="1" applyBorder="1"/>
    <xf numFmtId="0" fontId="9" fillId="0" borderId="0" xfId="1" applyFont="1" applyAlignment="1">
      <alignment horizontal="left"/>
    </xf>
    <xf numFmtId="0" fontId="7" fillId="0" borderId="0" xfId="1" applyFont="1" applyAlignment="1">
      <alignment horizontal="center" vertical="center"/>
    </xf>
    <xf numFmtId="0" fontId="1" fillId="0" borderId="0" xfId="1" applyFont="1" applyAlignment="1">
      <alignment horizontal="center"/>
    </xf>
    <xf numFmtId="0" fontId="1" fillId="0" borderId="0" xfId="1" applyFont="1"/>
    <xf numFmtId="0" fontId="2" fillId="0" borderId="0" xfId="1" applyFont="1"/>
    <xf numFmtId="0" fontId="10" fillId="0" borderId="0" xfId="2"/>
    <xf numFmtId="0" fontId="10" fillId="0" borderId="0" xfId="2" applyAlignment="1">
      <alignment horizontal="left"/>
    </xf>
    <xf numFmtId="0" fontId="10" fillId="0" borderId="0" xfId="2" applyAlignment="1">
      <alignment horizontal="center"/>
    </xf>
    <xf numFmtId="2" fontId="10" fillId="0" borderId="0" xfId="2" applyNumberFormat="1" applyAlignment="1">
      <alignment horizontal="left"/>
    </xf>
    <xf numFmtId="0" fontId="3" fillId="0" borderId="0" xfId="1" applyAlignment="1">
      <alignment horizontal="right"/>
    </xf>
    <xf numFmtId="0" fontId="9" fillId="0" borderId="0" xfId="1" applyFont="1" applyAlignment="1">
      <alignment horizontal="center"/>
    </xf>
    <xf numFmtId="0" fontId="11" fillId="0" borderId="0" xfId="2" applyFont="1" applyAlignment="1">
      <alignment vertical="top"/>
    </xf>
    <xf numFmtId="0" fontId="11" fillId="0" borderId="0" xfId="2" applyFont="1" applyAlignment="1">
      <alignment horizontal="center" vertical="top"/>
    </xf>
    <xf numFmtId="0" fontId="11" fillId="8" borderId="32" xfId="2" applyFont="1" applyFill="1" applyBorder="1" applyAlignment="1">
      <alignment horizontal="center"/>
    </xf>
    <xf numFmtId="0" fontId="11" fillId="9" borderId="33" xfId="2" applyFont="1" applyFill="1" applyBorder="1" applyAlignment="1">
      <alignment horizontal="left" indent="3"/>
    </xf>
    <xf numFmtId="0" fontId="11" fillId="9" borderId="33" xfId="2" applyFont="1" applyFill="1" applyBorder="1" applyAlignment="1">
      <alignment horizontal="center"/>
    </xf>
    <xf numFmtId="0" fontId="11" fillId="9" borderId="34" xfId="2" applyFont="1" applyFill="1" applyBorder="1" applyAlignment="1">
      <alignment horizontal="center"/>
    </xf>
    <xf numFmtId="0" fontId="11" fillId="6" borderId="35" xfId="2" applyFont="1" applyFill="1" applyBorder="1" applyAlignment="1">
      <alignment horizontal="center" vertical="top"/>
    </xf>
    <xf numFmtId="0" fontId="11" fillId="0" borderId="20" xfId="2" applyFont="1" applyBorder="1" applyAlignment="1">
      <alignment horizontal="center" vertical="top"/>
    </xf>
    <xf numFmtId="0" fontId="11" fillId="0" borderId="19" xfId="2" applyFont="1" applyBorder="1" applyAlignment="1">
      <alignment horizontal="left" vertical="top" indent="2"/>
    </xf>
    <xf numFmtId="0" fontId="11" fillId="0" borderId="19" xfId="2" applyFont="1" applyBorder="1" applyAlignment="1">
      <alignment horizontal="center" vertical="top"/>
    </xf>
    <xf numFmtId="0" fontId="11" fillId="0" borderId="36" xfId="2" applyFont="1" applyBorder="1" applyAlignment="1">
      <alignment horizontal="center" vertical="top"/>
    </xf>
    <xf numFmtId="0" fontId="11" fillId="6" borderId="37" xfId="2" applyFont="1" applyFill="1" applyBorder="1" applyAlignment="1">
      <alignment horizontal="center" vertical="top"/>
    </xf>
    <xf numFmtId="0" fontId="11" fillId="0" borderId="27" xfId="2" applyFont="1" applyBorder="1" applyAlignment="1">
      <alignment horizontal="center" vertical="top"/>
    </xf>
    <xf numFmtId="0" fontId="11" fillId="0" borderId="25" xfId="2" applyFont="1" applyBorder="1" applyAlignment="1">
      <alignment horizontal="left" vertical="top" indent="2"/>
    </xf>
    <xf numFmtId="0" fontId="11" fillId="0" borderId="25" xfId="2" applyFont="1" applyBorder="1" applyAlignment="1">
      <alignment horizontal="center" vertical="top"/>
    </xf>
    <xf numFmtId="0" fontId="11" fillId="0" borderId="38" xfId="2" applyFont="1" applyBorder="1" applyAlignment="1">
      <alignment horizontal="center" vertical="top"/>
    </xf>
    <xf numFmtId="0" fontId="12" fillId="3" borderId="37" xfId="2" applyFont="1" applyFill="1" applyBorder="1" applyAlignment="1">
      <alignment horizontal="center" vertical="top"/>
    </xf>
    <xf numFmtId="0" fontId="11" fillId="6" borderId="39" xfId="2" applyFont="1" applyFill="1" applyBorder="1" applyAlignment="1">
      <alignment horizontal="center" vertical="top"/>
    </xf>
    <xf numFmtId="0" fontId="11" fillId="0" borderId="32" xfId="2" applyFont="1" applyBorder="1" applyAlignment="1">
      <alignment horizontal="center" vertical="top"/>
    </xf>
    <xf numFmtId="0" fontId="11" fillId="0" borderId="33" xfId="2" applyFont="1" applyBorder="1" applyAlignment="1">
      <alignment horizontal="left" vertical="top" indent="2"/>
    </xf>
    <xf numFmtId="0" fontId="11" fillId="0" borderId="33" xfId="2" applyFont="1" applyBorder="1" applyAlignment="1">
      <alignment horizontal="center" vertical="top"/>
    </xf>
    <xf numFmtId="0" fontId="11" fillId="0" borderId="34" xfId="2" applyFont="1" applyBorder="1" applyAlignment="1">
      <alignment horizontal="center" vertical="top"/>
    </xf>
    <xf numFmtId="0" fontId="11" fillId="0" borderId="19" xfId="2" applyFont="1" applyBorder="1" applyAlignment="1">
      <alignment horizontal="right" vertical="top"/>
    </xf>
    <xf numFmtId="0" fontId="11" fillId="0" borderId="25" xfId="2" applyFont="1" applyBorder="1" applyAlignment="1">
      <alignment horizontal="right" vertical="top"/>
    </xf>
    <xf numFmtId="0" fontId="11" fillId="3" borderId="37" xfId="2" applyFont="1" applyFill="1" applyBorder="1" applyAlignment="1">
      <alignment horizontal="center" vertical="top"/>
    </xf>
    <xf numFmtId="0" fontId="3" fillId="0" borderId="0" xfId="1" applyAlignment="1">
      <alignment horizontal="left"/>
    </xf>
    <xf numFmtId="0" fontId="11" fillId="0" borderId="33" xfId="2" applyFont="1" applyBorder="1" applyAlignment="1">
      <alignment horizontal="right" vertical="top"/>
    </xf>
    <xf numFmtId="0" fontId="6" fillId="0" borderId="0" xfId="1" applyFont="1" applyAlignment="1">
      <alignment horizontal="center" vertical="center"/>
    </xf>
    <xf numFmtId="0" fontId="2" fillId="0" borderId="13" xfId="1" applyFont="1" applyBorder="1" applyAlignment="1">
      <alignment horizontal="center"/>
    </xf>
    <xf numFmtId="164" fontId="3" fillId="0" borderId="0" xfId="1" applyNumberFormat="1"/>
    <xf numFmtId="164" fontId="2" fillId="0" borderId="0" xfId="1" applyNumberFormat="1" applyFont="1"/>
    <xf numFmtId="0" fontId="0" fillId="0" borderId="23" xfId="1" applyFont="1" applyBorder="1" applyAlignment="1">
      <alignment horizontal="center"/>
    </xf>
    <xf numFmtId="0" fontId="3" fillId="0" borderId="23" xfId="1" applyBorder="1" applyAlignment="1">
      <alignment horizontal="center"/>
    </xf>
    <xf numFmtId="0" fontId="3" fillId="10" borderId="23" xfId="1" applyFill="1" applyBorder="1" applyAlignment="1">
      <alignment horizontal="center"/>
    </xf>
    <xf numFmtId="0" fontId="1" fillId="0" borderId="23" xfId="1" applyFont="1" applyBorder="1" applyAlignment="1">
      <alignment horizontal="center"/>
    </xf>
    <xf numFmtId="0" fontId="2" fillId="11" borderId="23" xfId="1" applyFont="1" applyFill="1" applyBorder="1" applyAlignment="1">
      <alignment horizontal="center"/>
    </xf>
    <xf numFmtId="0" fontId="1" fillId="11" borderId="23" xfId="1" applyFont="1" applyFill="1" applyBorder="1" applyAlignment="1">
      <alignment horizontal="center"/>
    </xf>
    <xf numFmtId="0" fontId="2" fillId="0" borderId="0" xfId="1" applyFont="1" applyAlignment="1">
      <alignment horizontal="left"/>
    </xf>
    <xf numFmtId="0" fontId="3" fillId="0" borderId="40" xfId="1" applyBorder="1"/>
    <xf numFmtId="0" fontId="2" fillId="0" borderId="3" xfId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3" fillId="0" borderId="41" xfId="1" applyBorder="1"/>
    <xf numFmtId="0" fontId="2" fillId="0" borderId="17" xfId="1" applyFont="1" applyBorder="1" applyAlignment="1">
      <alignment horizontal="center"/>
    </xf>
    <xf numFmtId="0" fontId="2" fillId="0" borderId="21" xfId="1" applyFont="1" applyBorder="1" applyAlignment="1">
      <alignment horizontal="center"/>
    </xf>
    <xf numFmtId="0" fontId="14" fillId="0" borderId="2" xfId="1" applyFont="1" applyBorder="1" applyAlignment="1">
      <alignment horizontal="center" wrapText="1"/>
    </xf>
    <xf numFmtId="0" fontId="3" fillId="0" borderId="9" xfId="1" applyBorder="1" applyAlignment="1">
      <alignment horizontal="center"/>
    </xf>
    <xf numFmtId="0" fontId="4" fillId="0" borderId="0" xfId="1" applyFont="1" applyAlignment="1">
      <alignment horizontal="center"/>
    </xf>
    <xf numFmtId="0" fontId="7" fillId="0" borderId="1" xfId="1" applyFont="1" applyBorder="1" applyAlignment="1">
      <alignment horizontal="left" vertical="center"/>
    </xf>
    <xf numFmtId="1" fontId="7" fillId="0" borderId="2" xfId="1" applyNumberFormat="1" applyFont="1" applyBorder="1" applyAlignment="1">
      <alignment horizontal="left" vertical="center"/>
    </xf>
    <xf numFmtId="164" fontId="7" fillId="0" borderId="2" xfId="1" applyNumberFormat="1" applyFont="1" applyBorder="1" applyAlignment="1">
      <alignment horizontal="center" vertical="center"/>
    </xf>
    <xf numFmtId="164" fontId="6" fillId="5" borderId="2" xfId="1" applyNumberFormat="1" applyFont="1" applyFill="1" applyBorder="1" applyAlignment="1">
      <alignment horizontal="center" vertical="center"/>
    </xf>
    <xf numFmtId="1" fontId="6" fillId="5" borderId="2" xfId="1" applyNumberFormat="1" applyFont="1" applyFill="1" applyBorder="1" applyAlignment="1">
      <alignment horizontal="center" vertical="center"/>
    </xf>
    <xf numFmtId="164" fontId="7" fillId="0" borderId="5" xfId="1" applyNumberFormat="1" applyFont="1" applyBorder="1" applyAlignment="1">
      <alignment horizontal="center" vertical="center"/>
    </xf>
    <xf numFmtId="0" fontId="3" fillId="0" borderId="7" xfId="1" applyBorder="1"/>
    <xf numFmtId="0" fontId="3" fillId="0" borderId="3" xfId="1" applyBorder="1"/>
    <xf numFmtId="165" fontId="7" fillId="0" borderId="16" xfId="1" applyNumberFormat="1" applyFont="1" applyBorder="1" applyAlignment="1">
      <alignment horizontal="center" vertical="center"/>
    </xf>
    <xf numFmtId="165" fontId="10" fillId="0" borderId="27" xfId="1" applyNumberFormat="1" applyFont="1" applyBorder="1" applyAlignment="1">
      <alignment horizontal="center" vertical="center"/>
    </xf>
    <xf numFmtId="0" fontId="14" fillId="0" borderId="0" xfId="1" applyFont="1"/>
    <xf numFmtId="0" fontId="14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1" applyFont="1"/>
    <xf numFmtId="0" fontId="15" fillId="0" borderId="0" xfId="1" quotePrefix="1" applyFont="1"/>
    <xf numFmtId="0" fontId="16" fillId="0" borderId="0" xfId="1" applyFont="1" applyAlignment="1">
      <alignment horizontal="left" vertical="center"/>
    </xf>
    <xf numFmtId="164" fontId="17" fillId="0" borderId="0" xfId="1" applyNumberFormat="1" applyFont="1"/>
    <xf numFmtId="0" fontId="10" fillId="11" borderId="0" xfId="2" applyFill="1" applyAlignment="1">
      <alignment horizontal="center"/>
    </xf>
    <xf numFmtId="0" fontId="10" fillId="11" borderId="0" xfId="2" applyFill="1"/>
    <xf numFmtId="165" fontId="10" fillId="0" borderId="26" xfId="1" applyNumberFormat="1" applyFont="1" applyBorder="1" applyAlignment="1">
      <alignment horizontal="center" vertical="center"/>
    </xf>
    <xf numFmtId="165" fontId="13" fillId="0" borderId="23" xfId="1" applyNumberFormat="1" applyFont="1" applyBorder="1" applyAlignment="1">
      <alignment horizontal="center"/>
    </xf>
    <xf numFmtId="165" fontId="13" fillId="0" borderId="24" xfId="1" applyNumberFormat="1" applyFont="1" applyBorder="1" applyAlignment="1">
      <alignment horizontal="center"/>
    </xf>
    <xf numFmtId="165" fontId="10" fillId="0" borderId="23" xfId="1" applyNumberFormat="1" applyFont="1" applyBorder="1" applyAlignment="1">
      <alignment horizontal="center" vertical="center"/>
    </xf>
    <xf numFmtId="165" fontId="10" fillId="0" borderId="24" xfId="1" applyNumberFormat="1" applyFont="1" applyBorder="1" applyAlignment="1">
      <alignment horizontal="center" vertical="center"/>
    </xf>
    <xf numFmtId="165" fontId="10" fillId="0" borderId="13" xfId="1" applyNumberFormat="1" applyFont="1" applyBorder="1" applyAlignment="1">
      <alignment horizontal="center" vertical="center"/>
    </xf>
    <xf numFmtId="165" fontId="10" fillId="0" borderId="17" xfId="1" applyNumberFormat="1" applyFont="1" applyBorder="1" applyAlignment="1">
      <alignment horizontal="center" vertical="center"/>
    </xf>
    <xf numFmtId="0" fontId="13" fillId="0" borderId="0" xfId="1" applyFont="1"/>
    <xf numFmtId="165" fontId="8" fillId="0" borderId="23" xfId="1" applyNumberFormat="1" applyFont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8" fillId="0" borderId="42" xfId="0" applyFont="1" applyBorder="1" applyAlignment="1">
      <alignment horizontal="left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19" fillId="0" borderId="45" xfId="0" applyFont="1" applyBorder="1" applyAlignment="1">
      <alignment horizontal="left"/>
    </xf>
    <xf numFmtId="0" fontId="20" fillId="0" borderId="0" xfId="0" applyFont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18" fillId="0" borderId="45" xfId="0" applyFont="1" applyBorder="1" applyAlignment="1">
      <alignment horizontal="left"/>
    </xf>
    <xf numFmtId="0" fontId="19" fillId="0" borderId="19" xfId="0" applyFont="1" applyBorder="1" applyAlignment="1">
      <alignment horizontal="left"/>
    </xf>
    <xf numFmtId="0" fontId="20" fillId="0" borderId="47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19" fillId="0" borderId="42" xfId="0" applyFont="1" applyBorder="1" applyAlignment="1">
      <alignment horizontal="left"/>
    </xf>
    <xf numFmtId="0" fontId="0" fillId="0" borderId="45" xfId="0" applyBorder="1"/>
    <xf numFmtId="0" fontId="0" fillId="0" borderId="46" xfId="0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46" xfId="0" applyFont="1" applyBorder="1" applyAlignment="1">
      <alignment horizontal="center"/>
    </xf>
    <xf numFmtId="0" fontId="20" fillId="0" borderId="47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0" fillId="0" borderId="42" xfId="0" applyBorder="1"/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0" fillId="0" borderId="0" xfId="0" applyFont="1"/>
    <xf numFmtId="0" fontId="0" fillId="0" borderId="46" xfId="0" applyBorder="1"/>
    <xf numFmtId="0" fontId="0" fillId="0" borderId="19" xfId="0" applyBorder="1"/>
    <xf numFmtId="0" fontId="0" fillId="0" borderId="4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0" fillId="0" borderId="45" xfId="0" applyFont="1" applyBorder="1" applyAlignment="1">
      <alignment horizontal="left"/>
    </xf>
    <xf numFmtId="0" fontId="0" fillId="0" borderId="25" xfId="0" applyBorder="1"/>
    <xf numFmtId="0" fontId="19" fillId="0" borderId="48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/>
    </xf>
    <xf numFmtId="0" fontId="10" fillId="0" borderId="19" xfId="0" applyFont="1" applyBorder="1" applyAlignment="1">
      <alignment horizontal="left"/>
    </xf>
    <xf numFmtId="0" fontId="10" fillId="0" borderId="47" xfId="0" applyFont="1" applyBorder="1"/>
    <xf numFmtId="0" fontId="0" fillId="0" borderId="47" xfId="0" applyBorder="1"/>
    <xf numFmtId="0" fontId="3" fillId="12" borderId="2" xfId="1" applyFill="1" applyBorder="1"/>
    <xf numFmtId="0" fontId="3" fillId="12" borderId="23" xfId="1" applyFill="1" applyBorder="1"/>
    <xf numFmtId="0" fontId="3" fillId="12" borderId="9" xfId="1" applyFill="1" applyBorder="1"/>
    <xf numFmtId="0" fontId="3" fillId="12" borderId="13" xfId="1" applyFill="1" applyBorder="1"/>
    <xf numFmtId="0" fontId="3" fillId="12" borderId="18" xfId="1" applyFill="1" applyBorder="1"/>
    <xf numFmtId="0" fontId="3" fillId="12" borderId="0" xfId="1" applyFill="1"/>
    <xf numFmtId="0" fontId="3" fillId="12" borderId="0" xfId="1" applyFill="1" applyAlignment="1">
      <alignment horizontal="center"/>
    </xf>
    <xf numFmtId="0" fontId="2" fillId="12" borderId="0" xfId="1" applyFont="1" applyFill="1" applyAlignment="1">
      <alignment horizontal="center"/>
    </xf>
    <xf numFmtId="0" fontId="11" fillId="7" borderId="29" xfId="2" applyFont="1" applyFill="1" applyBorder="1" applyAlignment="1">
      <alignment horizontal="left"/>
    </xf>
    <xf numFmtId="0" fontId="11" fillId="7" borderId="30" xfId="2" applyFont="1" applyFill="1" applyBorder="1" applyAlignment="1">
      <alignment horizontal="left"/>
    </xf>
    <xf numFmtId="0" fontId="4" fillId="0" borderId="0" xfId="1" applyFont="1" applyAlignment="1">
      <alignment horizontal="center"/>
    </xf>
    <xf numFmtId="0" fontId="11" fillId="6" borderId="28" xfId="2" applyFont="1" applyFill="1" applyBorder="1" applyAlignment="1">
      <alignment horizontal="center"/>
    </xf>
    <xf numFmtId="0" fontId="11" fillId="6" borderId="31" xfId="2" applyFont="1" applyFill="1" applyBorder="1" applyAlignment="1">
      <alignment horizontal="center"/>
    </xf>
    <xf numFmtId="0" fontId="11" fillId="7" borderId="29" xfId="2" applyFont="1" applyFill="1" applyBorder="1" applyAlignment="1">
      <alignment horizontal="left" wrapText="1"/>
    </xf>
    <xf numFmtId="0" fontId="11" fillId="7" borderId="30" xfId="2" applyFont="1" applyFill="1" applyBorder="1" applyAlignment="1">
      <alignment horizontal="left" wrapText="1"/>
    </xf>
    <xf numFmtId="0" fontId="11" fillId="7" borderId="29" xfId="2" applyFont="1" applyFill="1" applyBorder="1" applyAlignment="1">
      <alignment horizontal="left" indent="1"/>
    </xf>
    <xf numFmtId="0" fontId="11" fillId="7" borderId="30" xfId="2" applyFont="1" applyFill="1" applyBorder="1" applyAlignment="1">
      <alignment horizontal="left" indent="1"/>
    </xf>
    <xf numFmtId="0" fontId="3" fillId="0" borderId="1" xfId="1" applyBorder="1" applyAlignment="1">
      <alignment horizontal="left" vertical="center"/>
    </xf>
    <xf numFmtId="0" fontId="3" fillId="0" borderId="8" xfId="1" applyBorder="1" applyAlignment="1">
      <alignment horizontal="left" vertical="center"/>
    </xf>
    <xf numFmtId="0" fontId="3" fillId="0" borderId="2" xfId="1" applyBorder="1" applyAlignment="1">
      <alignment horizontal="left" vertical="center"/>
    </xf>
    <xf numFmtId="0" fontId="3" fillId="0" borderId="9" xfId="1" applyBorder="1" applyAlignment="1">
      <alignment horizontal="left" vertical="center"/>
    </xf>
    <xf numFmtId="0" fontId="6" fillId="0" borderId="4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</cellXfs>
  <cellStyles count="3">
    <cellStyle name="Обычный" xfId="0" builtinId="0"/>
    <cellStyle name="Обычный 2" xfId="1" xr:uid="{36589253-C9FC-4EBA-8E10-08DE1D36816F}"/>
    <cellStyle name="Обычный_13_07_2006" xfId="2" xr:uid="{8055FDE7-5C71-4AD6-A005-A8E3849531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535599</xdr:colOff>
      <xdr:row>79</xdr:row>
      <xdr:rowOff>79864</xdr:rowOff>
    </xdr:from>
    <xdr:to>
      <xdr:col>5</xdr:col>
      <xdr:colOff>0</xdr:colOff>
      <xdr:row>82</xdr:row>
      <xdr:rowOff>3664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535599" y="15686210"/>
          <a:ext cx="3017959" cy="495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Расчет для минимальной переменной</a:t>
          </a: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n - порядковый номер максимальной варианты.</a:t>
          </a:r>
        </a:p>
      </xdr:txBody>
    </xdr:sp>
    <xdr:clientData/>
  </xdr:twoCellAnchor>
  <xdr:twoCellAnchor>
    <xdr:from>
      <xdr:col>0</xdr:col>
      <xdr:colOff>531935</xdr:colOff>
      <xdr:row>91</xdr:row>
      <xdr:rowOff>9525</xdr:rowOff>
    </xdr:from>
    <xdr:to>
      <xdr:col>8</xdr:col>
      <xdr:colOff>485043</xdr:colOff>
      <xdr:row>94</xdr:row>
      <xdr:rowOff>161925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531935" y="17901871"/>
          <a:ext cx="5690089" cy="723900"/>
        </a:xfrm>
        <a:prstGeom prst="rect">
          <a:avLst/>
        </a:prstGeom>
        <a:solidFill>
          <a:srgbClr val="FF0000">
            <a:alpha val="74001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Чтобы отбросить переменную значение t1 или t2 должно быть больше уровня значимости при данном числе переменных в выборке (n).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Например: при числе наблюдений 8 и уровне значимости 5%  t1= 0,47.</a:t>
          </a:r>
        </a:p>
      </xdr:txBody>
    </xdr:sp>
    <xdr:clientData/>
  </xdr:twoCellAnchor>
  <xdr:twoCellAnchor>
    <xdr:from>
      <xdr:col>5</xdr:col>
      <xdr:colOff>1389185</xdr:colOff>
      <xdr:row>78</xdr:row>
      <xdr:rowOff>189768</xdr:rowOff>
    </xdr:from>
    <xdr:to>
      <xdr:col>11</xdr:col>
      <xdr:colOff>153867</xdr:colOff>
      <xdr:row>81</xdr:row>
      <xdr:rowOff>113568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4942743" y="15605614"/>
          <a:ext cx="2596662" cy="495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Расчет для максимальной переменной</a:t>
          </a: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n - порядковый номер максимальной варианты.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314325</xdr:colOff>
          <xdr:row>14</xdr:row>
          <xdr:rowOff>19050</xdr:rowOff>
        </xdr:from>
        <xdr:to>
          <xdr:col>18</xdr:col>
          <xdr:colOff>314325</xdr:colOff>
          <xdr:row>31</xdr:row>
          <xdr:rowOff>19050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14</xdr:row>
          <xdr:rowOff>9525</xdr:rowOff>
        </xdr:from>
        <xdr:to>
          <xdr:col>11</xdr:col>
          <xdr:colOff>95250</xdr:colOff>
          <xdr:row>31</xdr:row>
          <xdr:rowOff>38100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304800</xdr:colOff>
      <xdr:row>7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685800" y="180975"/>
          <a:ext cx="12649200" cy="1190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1) Не проявляют активности</a:t>
          </a:r>
          <a:r>
            <a:rPr lang="ru-RU" sz="1100" baseline="0"/>
            <a:t> в </a:t>
          </a:r>
          <a:r>
            <a:rPr lang="en-US" sz="1100" baseline="0"/>
            <a:t>FST </a:t>
          </a:r>
          <a:r>
            <a:rPr lang="ru-RU" sz="1100" baseline="0"/>
            <a:t>по ДИМ</a:t>
          </a:r>
          <a:r>
            <a:rPr lang="en-US" sz="1100" baseline="0"/>
            <a:t>, </a:t>
          </a:r>
          <a:r>
            <a:rPr lang="ru-RU" sz="1100" baseline="0"/>
            <a:t>как и миансерин</a:t>
          </a:r>
        </a:p>
        <a:p>
          <a:r>
            <a:rPr lang="en-US" sz="1100" baseline="0"/>
            <a:t>2</a:t>
          </a:r>
          <a:r>
            <a:rPr lang="ru-RU" sz="1100" baseline="0"/>
            <a:t>) Антидепрессивный эффект у амитриптилина (на 54%)</a:t>
          </a:r>
          <a:endParaRPr lang="en-US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3A40-8AE3-47EA-B420-5BC08A0AD48C}">
  <sheetPr>
    <pageSetUpPr fitToPage="1"/>
  </sheetPr>
  <dimension ref="B2:P44"/>
  <sheetViews>
    <sheetView workbookViewId="0">
      <selection activeCell="B12" sqref="B12"/>
    </sheetView>
  </sheetViews>
  <sheetFormatPr defaultRowHeight="15" x14ac:dyDescent="0.25"/>
  <cols>
    <col min="1" max="1" width="9.140625" style="2"/>
    <col min="2" max="2" width="27.7109375" style="2" customWidth="1"/>
    <col min="3" max="6" width="9.140625" style="2"/>
    <col min="7" max="7" width="10" style="2" customWidth="1"/>
    <col min="8" max="8" width="9.140625" style="84"/>
    <col min="9" max="14" width="9.140625" style="2"/>
    <col min="15" max="15" width="26" style="2" customWidth="1"/>
    <col min="16" max="16384" width="9.140625" style="2"/>
  </cols>
  <sheetData>
    <row r="2" spans="2:16" x14ac:dyDescent="0.25">
      <c r="B2" s="48" t="s">
        <v>95</v>
      </c>
    </row>
    <row r="3" spans="2:16" x14ac:dyDescent="0.25">
      <c r="O3" s="2" t="s">
        <v>96</v>
      </c>
      <c r="P3" s="2">
        <v>277.40300000000002</v>
      </c>
    </row>
    <row r="4" spans="2:16" x14ac:dyDescent="0.25">
      <c r="B4" s="47" t="s">
        <v>114</v>
      </c>
      <c r="G4" s="48" t="s">
        <v>97</v>
      </c>
      <c r="H4" s="85" t="s">
        <v>98</v>
      </c>
    </row>
    <row r="5" spans="2:16" x14ac:dyDescent="0.25">
      <c r="F5" s="48" t="s">
        <v>115</v>
      </c>
      <c r="G5" s="2">
        <v>362.25</v>
      </c>
      <c r="H5" s="85">
        <f>G5*10/$P$3</f>
        <v>13.058618688334299</v>
      </c>
    </row>
    <row r="6" spans="2:16" x14ac:dyDescent="0.25">
      <c r="B6" s="47" t="s">
        <v>99</v>
      </c>
      <c r="F6" s="48" t="s">
        <v>116</v>
      </c>
      <c r="G6" s="2">
        <v>348.22</v>
      </c>
      <c r="H6" s="85">
        <f t="shared" ref="H6:H12" si="0">G6*10/$P$3</f>
        <v>12.552856313738497</v>
      </c>
    </row>
    <row r="7" spans="2:16" x14ac:dyDescent="0.25">
      <c r="F7" s="48" t="s">
        <v>117</v>
      </c>
      <c r="G7" s="2">
        <v>333.2</v>
      </c>
      <c r="H7" s="119">
        <f t="shared" si="0"/>
        <v>12.0114057886901</v>
      </c>
    </row>
    <row r="8" spans="2:16" x14ac:dyDescent="0.25">
      <c r="B8" s="47" t="s">
        <v>118</v>
      </c>
      <c r="F8" s="48" t="s">
        <v>119</v>
      </c>
      <c r="G8" s="2">
        <v>380.22</v>
      </c>
      <c r="H8" s="85">
        <f t="shared" si="0"/>
        <v>13.706412692004053</v>
      </c>
      <c r="J8" s="25" t="s">
        <v>100</v>
      </c>
      <c r="K8" s="86" t="s">
        <v>101</v>
      </c>
      <c r="L8" s="87" t="s">
        <v>102</v>
      </c>
    </row>
    <row r="9" spans="2:16" x14ac:dyDescent="0.25">
      <c r="F9" s="48"/>
      <c r="H9" s="84">
        <f t="shared" si="0"/>
        <v>0</v>
      </c>
      <c r="J9" s="87" t="s">
        <v>103</v>
      </c>
      <c r="K9" s="87" t="s">
        <v>104</v>
      </c>
      <c r="L9" s="87" t="s">
        <v>105</v>
      </c>
    </row>
    <row r="10" spans="2:16" x14ac:dyDescent="0.25">
      <c r="B10" s="48" t="s">
        <v>81</v>
      </c>
      <c r="F10" s="48"/>
      <c r="H10" s="84">
        <f t="shared" si="0"/>
        <v>0</v>
      </c>
      <c r="J10" s="88">
        <v>10</v>
      </c>
      <c r="K10" s="87">
        <v>1000</v>
      </c>
      <c r="L10" s="87"/>
    </row>
    <row r="11" spans="2:16" x14ac:dyDescent="0.25">
      <c r="B11" s="2" t="s">
        <v>77</v>
      </c>
      <c r="C11" s="2">
        <v>8</v>
      </c>
      <c r="F11" s="48"/>
      <c r="H11" s="84">
        <f t="shared" si="0"/>
        <v>0</v>
      </c>
      <c r="J11" s="87">
        <f>J10/50</f>
        <v>0.2</v>
      </c>
      <c r="K11" s="87">
        <f>K10/50</f>
        <v>20</v>
      </c>
      <c r="L11" s="89">
        <v>0.2</v>
      </c>
    </row>
    <row r="12" spans="2:16" x14ac:dyDescent="0.25">
      <c r="B12" s="2" t="s">
        <v>120</v>
      </c>
      <c r="C12" s="2">
        <v>8</v>
      </c>
      <c r="F12" s="48"/>
      <c r="H12" s="84">
        <f t="shared" si="0"/>
        <v>0</v>
      </c>
      <c r="J12" s="90">
        <f>J11*K12/K11</f>
        <v>2</v>
      </c>
      <c r="K12" s="91">
        <v>200</v>
      </c>
      <c r="L12" s="90">
        <f>K12*L11/K11</f>
        <v>2</v>
      </c>
    </row>
    <row r="13" spans="2:16" x14ac:dyDescent="0.25">
      <c r="B13" s="2" t="s">
        <v>78</v>
      </c>
      <c r="C13" s="2">
        <v>3</v>
      </c>
      <c r="J13" s="5"/>
      <c r="K13" s="5"/>
      <c r="L13" s="5"/>
      <c r="M13" s="92"/>
    </row>
    <row r="14" spans="2:16" x14ac:dyDescent="0.25">
      <c r="B14" s="2" t="s">
        <v>121</v>
      </c>
      <c r="C14" s="2">
        <v>8</v>
      </c>
      <c r="F14" s="48" t="s">
        <v>106</v>
      </c>
      <c r="H14" s="2"/>
    </row>
    <row r="15" spans="2:16" x14ac:dyDescent="0.25">
      <c r="B15" s="2" t="s">
        <v>122</v>
      </c>
      <c r="C15" s="2">
        <v>8</v>
      </c>
      <c r="H15" s="2"/>
    </row>
    <row r="16" spans="2:16" x14ac:dyDescent="0.25">
      <c r="B16" s="2" t="s">
        <v>123</v>
      </c>
      <c r="C16" s="2">
        <v>8</v>
      </c>
      <c r="F16" s="25" t="s">
        <v>115</v>
      </c>
      <c r="G16" s="86" t="s">
        <v>101</v>
      </c>
      <c r="H16" s="87" t="s">
        <v>102</v>
      </c>
      <c r="J16" s="25" t="s">
        <v>116</v>
      </c>
      <c r="K16" s="86" t="s">
        <v>101</v>
      </c>
      <c r="L16" s="87" t="s">
        <v>102</v>
      </c>
    </row>
    <row r="17" spans="2:12" x14ac:dyDescent="0.25">
      <c r="B17" s="2" t="s">
        <v>124</v>
      </c>
      <c r="C17" s="2">
        <v>8</v>
      </c>
      <c r="F17" s="87" t="s">
        <v>103</v>
      </c>
      <c r="G17" s="87" t="s">
        <v>104</v>
      </c>
      <c r="H17" s="87" t="s">
        <v>105</v>
      </c>
      <c r="J17" s="87" t="s">
        <v>103</v>
      </c>
      <c r="K17" s="87" t="s">
        <v>104</v>
      </c>
      <c r="L17" s="87" t="s">
        <v>105</v>
      </c>
    </row>
    <row r="18" spans="2:12" x14ac:dyDescent="0.25">
      <c r="F18" s="88">
        <v>13.1</v>
      </c>
      <c r="G18" s="87">
        <v>1000</v>
      </c>
      <c r="H18" s="87"/>
      <c r="J18" s="88">
        <v>12.6</v>
      </c>
      <c r="K18" s="87">
        <v>1000</v>
      </c>
      <c r="L18" s="87"/>
    </row>
    <row r="19" spans="2:12" x14ac:dyDescent="0.25">
      <c r="F19" s="87">
        <f>F18/50</f>
        <v>0.26200000000000001</v>
      </c>
      <c r="G19" s="87">
        <f>G18/50</f>
        <v>20</v>
      </c>
      <c r="H19" s="89">
        <v>0.2</v>
      </c>
      <c r="J19" s="87">
        <f>J18/50</f>
        <v>0.252</v>
      </c>
      <c r="K19" s="87">
        <f>K18/50</f>
        <v>20</v>
      </c>
      <c r="L19" s="89">
        <v>0.2</v>
      </c>
    </row>
    <row r="20" spans="2:12" x14ac:dyDescent="0.25">
      <c r="F20" s="90">
        <f>F19*G20/G19</f>
        <v>5.24</v>
      </c>
      <c r="G20" s="91">
        <v>400</v>
      </c>
      <c r="H20" s="90">
        <f>G20*H19/G19</f>
        <v>4</v>
      </c>
      <c r="J20" s="90">
        <f>J19*K20/K19</f>
        <v>5.04</v>
      </c>
      <c r="K20" s="91">
        <v>400</v>
      </c>
      <c r="L20" s="90">
        <f>K20*L19/K19</f>
        <v>4</v>
      </c>
    </row>
    <row r="21" spans="2:12" x14ac:dyDescent="0.25">
      <c r="C21" s="48"/>
      <c r="L21" s="84"/>
    </row>
    <row r="22" spans="2:12" x14ac:dyDescent="0.25">
      <c r="L22" s="84"/>
    </row>
    <row r="23" spans="2:12" x14ac:dyDescent="0.25">
      <c r="B23" s="48"/>
      <c r="F23" s="25" t="s">
        <v>117</v>
      </c>
      <c r="G23" s="86" t="s">
        <v>101</v>
      </c>
      <c r="H23" s="87" t="s">
        <v>102</v>
      </c>
      <c r="J23" s="25" t="s">
        <v>119</v>
      </c>
      <c r="K23" s="86" t="s">
        <v>101</v>
      </c>
      <c r="L23" s="87" t="s">
        <v>102</v>
      </c>
    </row>
    <row r="24" spans="2:12" x14ac:dyDescent="0.25">
      <c r="F24" s="87" t="s">
        <v>103</v>
      </c>
      <c r="G24" s="87" t="s">
        <v>104</v>
      </c>
      <c r="H24" s="87" t="s">
        <v>105</v>
      </c>
      <c r="J24" s="87" t="s">
        <v>103</v>
      </c>
      <c r="K24" s="87" t="s">
        <v>104</v>
      </c>
      <c r="L24" s="87" t="s">
        <v>105</v>
      </c>
    </row>
    <row r="25" spans="2:12" x14ac:dyDescent="0.25">
      <c r="F25" s="88">
        <v>12</v>
      </c>
      <c r="G25" s="87">
        <v>1000</v>
      </c>
      <c r="H25" s="87"/>
      <c r="J25" s="88">
        <v>13.7</v>
      </c>
      <c r="K25" s="87">
        <v>1000</v>
      </c>
      <c r="L25" s="87"/>
    </row>
    <row r="26" spans="2:12" x14ac:dyDescent="0.25">
      <c r="F26" s="87">
        <f>F25/50</f>
        <v>0.24</v>
      </c>
      <c r="G26" s="87">
        <f>G25/50</f>
        <v>20</v>
      </c>
      <c r="H26" s="89">
        <v>0.2</v>
      </c>
      <c r="J26" s="87">
        <f>J25/50</f>
        <v>0.27399999999999997</v>
      </c>
      <c r="K26" s="87">
        <f>K25/50</f>
        <v>20</v>
      </c>
      <c r="L26" s="89">
        <v>0.2</v>
      </c>
    </row>
    <row r="27" spans="2:12" x14ac:dyDescent="0.25">
      <c r="F27" s="90">
        <f>F26*G27/G26</f>
        <v>4.8</v>
      </c>
      <c r="G27" s="91">
        <v>400</v>
      </c>
      <c r="H27" s="90">
        <f>G27*H26/G26</f>
        <v>4</v>
      </c>
      <c r="J27" s="90">
        <f>J26*K27/K26</f>
        <v>5.4799999999999986</v>
      </c>
      <c r="K27" s="91">
        <v>400</v>
      </c>
      <c r="L27" s="90">
        <f>K27*L26/K26</f>
        <v>4</v>
      </c>
    </row>
    <row r="28" spans="2:12" x14ac:dyDescent="0.25">
      <c r="L28" s="84"/>
    </row>
    <row r="29" spans="2:12" x14ac:dyDescent="0.25">
      <c r="L29" s="84"/>
    </row>
    <row r="30" spans="2:12" x14ac:dyDescent="0.25">
      <c r="F30" s="25" t="s">
        <v>125</v>
      </c>
      <c r="G30" s="86" t="s">
        <v>101</v>
      </c>
      <c r="H30" s="87" t="s">
        <v>102</v>
      </c>
    </row>
    <row r="31" spans="2:12" x14ac:dyDescent="0.25">
      <c r="F31" s="87" t="s">
        <v>103</v>
      </c>
      <c r="G31" s="87" t="s">
        <v>104</v>
      </c>
      <c r="H31" s="87" t="s">
        <v>105</v>
      </c>
    </row>
    <row r="32" spans="2:12" x14ac:dyDescent="0.25">
      <c r="F32" s="88">
        <v>20</v>
      </c>
      <c r="G32" s="87">
        <v>1000</v>
      </c>
      <c r="H32" s="87"/>
    </row>
    <row r="33" spans="6:8" x14ac:dyDescent="0.25">
      <c r="F33" s="87">
        <f>F32/50</f>
        <v>0.4</v>
      </c>
      <c r="G33" s="87">
        <f>G32/50</f>
        <v>20</v>
      </c>
      <c r="H33" s="89">
        <v>0.2</v>
      </c>
    </row>
    <row r="34" spans="6:8" x14ac:dyDescent="0.25">
      <c r="F34" s="90">
        <f>F33*G34/G33</f>
        <v>8</v>
      </c>
      <c r="G34" s="91">
        <v>400</v>
      </c>
      <c r="H34" s="90">
        <f>G34*H33/G33</f>
        <v>4</v>
      </c>
    </row>
    <row r="36" spans="6:8" x14ac:dyDescent="0.25">
      <c r="H36" s="2"/>
    </row>
    <row r="37" spans="6:8" x14ac:dyDescent="0.25">
      <c r="H37" s="2"/>
    </row>
    <row r="38" spans="6:8" x14ac:dyDescent="0.25">
      <c r="H38" s="2"/>
    </row>
    <row r="39" spans="6:8" x14ac:dyDescent="0.25">
      <c r="H39" s="2"/>
    </row>
    <row r="40" spans="6:8" x14ac:dyDescent="0.25">
      <c r="H40" s="2"/>
    </row>
    <row r="41" spans="6:8" x14ac:dyDescent="0.25">
      <c r="H41" s="2"/>
    </row>
    <row r="42" spans="6:8" x14ac:dyDescent="0.25">
      <c r="H42" s="2"/>
    </row>
    <row r="43" spans="6:8" x14ac:dyDescent="0.25">
      <c r="H43" s="2"/>
    </row>
    <row r="44" spans="6:8" x14ac:dyDescent="0.25">
      <c r="H44" s="2"/>
    </row>
  </sheetData>
  <pageMargins left="0.7" right="0.7" top="0.75" bottom="0.75" header="0.3" footer="0.3"/>
  <pageSetup paperSize="9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D5751-7299-4376-8916-583628539D3F}">
  <sheetPr>
    <pageSetUpPr fitToPage="1"/>
  </sheetPr>
  <dimension ref="A1:T178"/>
  <sheetViews>
    <sheetView tabSelected="1" zoomScale="130" zoomScaleNormal="130" workbookViewId="0">
      <selection activeCell="C47" sqref="C47"/>
    </sheetView>
  </sheetViews>
  <sheetFormatPr defaultColWidth="9.140625" defaultRowHeight="15" x14ac:dyDescent="0.25"/>
  <cols>
    <col min="1" max="1" width="8.140625" style="2" customWidth="1"/>
    <col min="2" max="2" width="20.42578125" style="2" customWidth="1"/>
    <col min="3" max="3" width="9.140625" style="2"/>
    <col min="4" max="4" width="9.140625" style="5"/>
    <col min="5" max="5" width="6.42578125" style="2" customWidth="1"/>
    <col min="6" max="6" width="20.85546875" style="5" customWidth="1"/>
    <col min="7" max="7" width="5.5703125" style="2" customWidth="1"/>
    <col min="8" max="8" width="6.28515625" style="2" customWidth="1"/>
    <col min="9" max="9" width="7.7109375" style="4" customWidth="1"/>
    <col min="10" max="10" width="10" style="5" customWidth="1"/>
    <col min="11" max="11" width="7" style="5" customWidth="1"/>
    <col min="12" max="12" width="7" style="4" customWidth="1"/>
    <col min="13" max="14" width="9.140625" style="4"/>
    <col min="15" max="15" width="5.85546875" style="4" customWidth="1"/>
    <col min="16" max="16" width="8.28515625" style="4" customWidth="1"/>
    <col min="17" max="17" width="9.140625" style="4"/>
    <col min="18" max="18" width="10.5703125" style="2" customWidth="1"/>
    <col min="19" max="16384" width="9.140625" style="2"/>
  </cols>
  <sheetData>
    <row r="1" spans="2:20" x14ac:dyDescent="0.25">
      <c r="B1" s="1" t="s">
        <v>52</v>
      </c>
      <c r="D1" s="3" t="s">
        <v>53</v>
      </c>
      <c r="F1" s="1" t="s">
        <v>54</v>
      </c>
      <c r="H1" s="4"/>
      <c r="I1" s="5"/>
      <c r="K1" s="4"/>
      <c r="Q1" s="2"/>
    </row>
    <row r="2" spans="2:20" ht="15.75" thickBot="1" x14ac:dyDescent="0.3">
      <c r="D2" s="5" t="s">
        <v>0</v>
      </c>
      <c r="F2" s="2"/>
      <c r="H2" s="4"/>
      <c r="I2" s="5"/>
      <c r="K2" s="4"/>
      <c r="Q2" s="2"/>
    </row>
    <row r="3" spans="2:20" ht="28.5" customHeight="1" x14ac:dyDescent="0.25">
      <c r="B3" s="186" t="s">
        <v>55</v>
      </c>
      <c r="C3" s="188" t="s">
        <v>56</v>
      </c>
      <c r="D3" s="100" t="s">
        <v>69</v>
      </c>
      <c r="F3" s="6" t="s">
        <v>57</v>
      </c>
      <c r="G3" s="190" t="s">
        <v>58</v>
      </c>
      <c r="H3" s="7" t="s">
        <v>59</v>
      </c>
      <c r="I3" s="8" t="s">
        <v>60</v>
      </c>
      <c r="J3" s="9" t="s">
        <v>61</v>
      </c>
      <c r="K3" s="7" t="s">
        <v>62</v>
      </c>
      <c r="L3" s="7" t="s">
        <v>63</v>
      </c>
      <c r="M3" s="7" t="s">
        <v>64</v>
      </c>
      <c r="N3" s="7" t="s">
        <v>64</v>
      </c>
      <c r="O3" s="190" t="s">
        <v>65</v>
      </c>
      <c r="P3" s="10" t="s">
        <v>66</v>
      </c>
      <c r="Q3" s="11" t="s">
        <v>67</v>
      </c>
      <c r="R3" s="192" t="s">
        <v>68</v>
      </c>
      <c r="S3" s="193"/>
      <c r="T3" s="194"/>
    </row>
    <row r="4" spans="2:20" ht="15.75" thickBot="1" x14ac:dyDescent="0.3">
      <c r="B4" s="187"/>
      <c r="C4" s="189"/>
      <c r="D4" s="101" t="s">
        <v>107</v>
      </c>
      <c r="F4" s="12" t="s">
        <v>55</v>
      </c>
      <c r="G4" s="191"/>
      <c r="H4" s="13" t="s">
        <v>70</v>
      </c>
      <c r="I4" s="14" t="s">
        <v>70</v>
      </c>
      <c r="J4" s="14"/>
      <c r="K4" s="13" t="s">
        <v>70</v>
      </c>
      <c r="L4" s="13" t="s">
        <v>70</v>
      </c>
      <c r="M4" s="13" t="s">
        <v>71</v>
      </c>
      <c r="N4" s="13" t="s">
        <v>72</v>
      </c>
      <c r="O4" s="191"/>
      <c r="P4" s="15" t="s">
        <v>73</v>
      </c>
      <c r="Q4" s="16" t="s">
        <v>74</v>
      </c>
      <c r="R4" s="17" t="s">
        <v>75</v>
      </c>
      <c r="S4" s="13" t="s">
        <v>76</v>
      </c>
      <c r="T4" s="18" t="s">
        <v>126</v>
      </c>
    </row>
    <row r="5" spans="2:20" x14ac:dyDescent="0.25">
      <c r="B5" s="19" t="s">
        <v>77</v>
      </c>
      <c r="C5" s="20" t="s">
        <v>24</v>
      </c>
      <c r="D5" s="21">
        <v>188.48</v>
      </c>
      <c r="F5" s="103" t="s">
        <v>77</v>
      </c>
      <c r="G5" s="104">
        <v>8</v>
      </c>
      <c r="H5" s="105">
        <v>206.36369999999999</v>
      </c>
      <c r="I5" s="106">
        <v>207.81</v>
      </c>
      <c r="J5" s="107">
        <f>I5/$I$5*100</f>
        <v>100</v>
      </c>
      <c r="K5" s="105">
        <v>145.97999999999999</v>
      </c>
      <c r="L5" s="105">
        <v>279.5</v>
      </c>
      <c r="M5" s="105">
        <v>172.935</v>
      </c>
      <c r="N5" s="105">
        <v>231.97</v>
      </c>
      <c r="O5" s="105">
        <v>43.163530000000002</v>
      </c>
      <c r="P5" s="108">
        <v>15.26061</v>
      </c>
      <c r="Q5" s="122" t="s">
        <v>127</v>
      </c>
      <c r="R5" s="109"/>
      <c r="S5" s="20"/>
      <c r="T5" s="110"/>
    </row>
    <row r="6" spans="2:20" x14ac:dyDescent="0.25">
      <c r="B6" s="23"/>
      <c r="C6" s="24" t="s">
        <v>13</v>
      </c>
      <c r="D6" s="25">
        <v>230.87</v>
      </c>
      <c r="F6" s="26" t="s">
        <v>78</v>
      </c>
      <c r="G6" s="27">
        <v>3</v>
      </c>
      <c r="H6" s="28">
        <v>93.806700000000006</v>
      </c>
      <c r="I6" s="29">
        <v>95.77</v>
      </c>
      <c r="J6" s="30">
        <f>I6/$I$5*100</f>
        <v>46.085366440498532</v>
      </c>
      <c r="K6" s="28">
        <v>31.83</v>
      </c>
      <c r="L6" s="28">
        <v>153.82</v>
      </c>
      <c r="M6" s="28">
        <v>31.83</v>
      </c>
      <c r="N6" s="28">
        <v>153.82</v>
      </c>
      <c r="O6" s="28">
        <v>61.018689999999999</v>
      </c>
      <c r="P6" s="31">
        <v>35.22916</v>
      </c>
      <c r="Q6" s="32"/>
      <c r="R6" s="33">
        <v>2.4745E-2</v>
      </c>
      <c r="S6" s="123"/>
      <c r="T6" s="124"/>
    </row>
    <row r="7" spans="2:20" x14ac:dyDescent="0.25">
      <c r="B7" s="23"/>
      <c r="C7" s="24" t="s">
        <v>14</v>
      </c>
      <c r="D7" s="25">
        <v>210.08</v>
      </c>
      <c r="F7" s="26" t="s">
        <v>120</v>
      </c>
      <c r="G7" s="27">
        <v>8</v>
      </c>
      <c r="H7" s="28">
        <v>185.54750000000001</v>
      </c>
      <c r="I7" s="29">
        <v>184.745</v>
      </c>
      <c r="J7" s="30">
        <f t="shared" ref="J7:J11" si="0">I7/$I$5*100</f>
        <v>88.900919108801318</v>
      </c>
      <c r="K7" s="28">
        <v>43.08</v>
      </c>
      <c r="L7" s="28">
        <v>272.82</v>
      </c>
      <c r="M7" s="28">
        <v>134.285</v>
      </c>
      <c r="N7" s="28">
        <v>265.20999999999998</v>
      </c>
      <c r="O7" s="28">
        <v>82.582059999999998</v>
      </c>
      <c r="P7" s="31">
        <v>29.19717</v>
      </c>
      <c r="Q7" s="32"/>
      <c r="R7" s="112">
        <v>0.59951100000000002</v>
      </c>
      <c r="S7" s="125">
        <v>6.6193000000000002E-2</v>
      </c>
      <c r="T7" s="124"/>
    </row>
    <row r="8" spans="2:20" x14ac:dyDescent="0.25">
      <c r="B8" s="23"/>
      <c r="C8" s="24" t="s">
        <v>15</v>
      </c>
      <c r="D8" s="25">
        <v>279.5</v>
      </c>
      <c r="F8" s="26" t="s">
        <v>124</v>
      </c>
      <c r="G8" s="27">
        <v>8</v>
      </c>
      <c r="H8" s="28">
        <v>192.81379999999999</v>
      </c>
      <c r="I8" s="29">
        <v>204.155</v>
      </c>
      <c r="J8" s="30">
        <f t="shared" si="0"/>
        <v>98.241181848804189</v>
      </c>
      <c r="K8" s="28">
        <v>95.66</v>
      </c>
      <c r="L8" s="28">
        <v>260.36</v>
      </c>
      <c r="M8" s="28">
        <v>164.125</v>
      </c>
      <c r="N8" s="28">
        <v>224.965</v>
      </c>
      <c r="O8" s="28">
        <v>51.55321</v>
      </c>
      <c r="P8" s="31">
        <v>18.22681</v>
      </c>
      <c r="Q8" s="32"/>
      <c r="R8" s="112">
        <v>0.75271399999999999</v>
      </c>
      <c r="S8" s="125">
        <v>6.6193000000000002E-2</v>
      </c>
      <c r="T8" s="126">
        <v>0.91635900000000003</v>
      </c>
    </row>
    <row r="9" spans="2:20" x14ac:dyDescent="0.25">
      <c r="B9" s="23"/>
      <c r="C9" s="24" t="s">
        <v>16</v>
      </c>
      <c r="D9" s="25">
        <v>157.38999999999999</v>
      </c>
      <c r="F9" s="26" t="s">
        <v>121</v>
      </c>
      <c r="G9" s="27">
        <v>8</v>
      </c>
      <c r="H9" s="28">
        <v>222.55629999999999</v>
      </c>
      <c r="I9" s="29">
        <v>216.22499999999999</v>
      </c>
      <c r="J9" s="30">
        <f t="shared" si="0"/>
        <v>104.04937202252056</v>
      </c>
      <c r="K9" s="28">
        <v>175.24</v>
      </c>
      <c r="L9" s="28">
        <v>274.29000000000002</v>
      </c>
      <c r="M9" s="28">
        <v>193.7</v>
      </c>
      <c r="N9" s="28">
        <v>255.535</v>
      </c>
      <c r="O9" s="28">
        <v>35.786299999999997</v>
      </c>
      <c r="P9" s="31">
        <v>12.652369999999999</v>
      </c>
      <c r="Q9" s="32"/>
      <c r="R9" s="112">
        <v>0.46224999999999999</v>
      </c>
      <c r="S9" s="130">
        <v>1.4305999999999999E-2</v>
      </c>
      <c r="T9" s="126">
        <v>0.34456300000000001</v>
      </c>
    </row>
    <row r="10" spans="2:20" x14ac:dyDescent="0.25">
      <c r="B10" s="23"/>
      <c r="C10" s="24" t="s">
        <v>17</v>
      </c>
      <c r="D10" s="25">
        <v>145.97999999999999</v>
      </c>
      <c r="F10" s="26" t="s">
        <v>122</v>
      </c>
      <c r="G10" s="27">
        <v>8</v>
      </c>
      <c r="H10" s="28">
        <v>198.88</v>
      </c>
      <c r="I10" s="29">
        <v>191.25</v>
      </c>
      <c r="J10" s="30">
        <f t="shared" si="0"/>
        <v>92.031182330012996</v>
      </c>
      <c r="K10" s="28">
        <v>124.7</v>
      </c>
      <c r="L10" s="28">
        <v>256.37</v>
      </c>
      <c r="M10" s="28">
        <v>174.45</v>
      </c>
      <c r="N10" s="28">
        <v>239.285</v>
      </c>
      <c r="O10" s="28">
        <v>44.216230000000003</v>
      </c>
      <c r="P10" s="31">
        <v>15.6328</v>
      </c>
      <c r="Q10" s="32"/>
      <c r="R10" s="112">
        <v>0.75271399999999999</v>
      </c>
      <c r="S10" s="130">
        <v>2.4745E-2</v>
      </c>
      <c r="T10" s="126">
        <v>0.91635900000000003</v>
      </c>
    </row>
    <row r="11" spans="2:20" ht="15.75" thickBot="1" x14ac:dyDescent="0.3">
      <c r="B11" s="23"/>
      <c r="C11" s="24" t="s">
        <v>18</v>
      </c>
      <c r="D11" s="25">
        <v>233.07</v>
      </c>
      <c r="F11" s="36" t="s">
        <v>123</v>
      </c>
      <c r="G11" s="37">
        <v>8</v>
      </c>
      <c r="H11" s="38">
        <v>164.37880000000001</v>
      </c>
      <c r="I11" s="39">
        <v>182.48500000000001</v>
      </c>
      <c r="J11" s="40">
        <f t="shared" si="0"/>
        <v>87.81338722871854</v>
      </c>
      <c r="K11" s="38">
        <v>57.78</v>
      </c>
      <c r="L11" s="38">
        <v>232.21</v>
      </c>
      <c r="M11" s="38">
        <v>113.64</v>
      </c>
      <c r="N11" s="38">
        <v>216.39500000000001</v>
      </c>
      <c r="O11" s="38">
        <v>67.360389999999995</v>
      </c>
      <c r="P11" s="41">
        <v>23.8155</v>
      </c>
      <c r="Q11" s="42"/>
      <c r="R11" s="111">
        <v>0.34456300000000001</v>
      </c>
      <c r="S11" s="127">
        <v>0.15304300000000001</v>
      </c>
      <c r="T11" s="128">
        <v>0.528613</v>
      </c>
    </row>
    <row r="12" spans="2:20" ht="15.75" thickBot="1" x14ac:dyDescent="0.3">
      <c r="B12" s="34"/>
      <c r="C12" s="35" t="s">
        <v>19</v>
      </c>
      <c r="D12" s="83">
        <v>205.54</v>
      </c>
      <c r="F12" s="2"/>
      <c r="H12" s="4"/>
      <c r="I12" s="5"/>
      <c r="K12" s="4"/>
      <c r="Q12" s="2"/>
      <c r="S12" s="129"/>
      <c r="T12" s="129"/>
    </row>
    <row r="13" spans="2:20" x14ac:dyDescent="0.25">
      <c r="B13" s="93" t="s">
        <v>120</v>
      </c>
      <c r="C13" s="169" t="s">
        <v>20</v>
      </c>
      <c r="D13" s="94">
        <v>187.91</v>
      </c>
      <c r="F13" s="118" t="s">
        <v>113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2:20" x14ac:dyDescent="0.25">
      <c r="B14" s="23"/>
      <c r="C14" s="170" t="s">
        <v>21</v>
      </c>
      <c r="D14" s="95">
        <v>263.70999999999998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2:20" x14ac:dyDescent="0.25">
      <c r="B15" s="23"/>
      <c r="C15" s="24" t="s">
        <v>22</v>
      </c>
      <c r="D15" s="95">
        <v>103.86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2:20" ht="15" customHeight="1" x14ac:dyDescent="0.25">
      <c r="B16" s="23"/>
      <c r="C16" s="170" t="s">
        <v>23</v>
      </c>
      <c r="D16" s="95">
        <v>266.70999999999998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2:20" ht="15.75" customHeight="1" x14ac:dyDescent="0.25">
      <c r="B17" s="23"/>
      <c r="C17" s="170" t="s">
        <v>1</v>
      </c>
      <c r="D17" s="95">
        <v>164.71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2:20" x14ac:dyDescent="0.25">
      <c r="B18" s="23"/>
      <c r="C18" s="170" t="s">
        <v>2</v>
      </c>
      <c r="D18" s="95">
        <v>181.58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2:20" x14ac:dyDescent="0.25">
      <c r="B19" s="23"/>
      <c r="C19" s="24" t="s">
        <v>3</v>
      </c>
      <c r="D19" s="95">
        <v>43.08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2:20" ht="15.75" thickBot="1" x14ac:dyDescent="0.3">
      <c r="B20" s="43"/>
      <c r="C20" s="171" t="s">
        <v>4</v>
      </c>
      <c r="D20" s="96">
        <v>272.82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2:20" x14ac:dyDescent="0.25">
      <c r="B21" s="93" t="s">
        <v>124</v>
      </c>
      <c r="C21" s="20" t="s">
        <v>5</v>
      </c>
      <c r="D21" s="94">
        <v>95.66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2:20" x14ac:dyDescent="0.25">
      <c r="B22" s="23"/>
      <c r="C22" s="170" t="s">
        <v>6</v>
      </c>
      <c r="D22" s="95">
        <v>260.36</v>
      </c>
      <c r="M22" s="44"/>
      <c r="Q22" s="2"/>
    </row>
    <row r="23" spans="2:20" x14ac:dyDescent="0.25">
      <c r="B23" s="23"/>
      <c r="C23" s="24" t="s">
        <v>7</v>
      </c>
      <c r="D23" s="95">
        <v>192.17</v>
      </c>
      <c r="F23" s="2"/>
      <c r="H23" s="4"/>
      <c r="I23" s="5"/>
      <c r="K23" s="4"/>
      <c r="Q23" s="2"/>
    </row>
    <row r="24" spans="2:20" x14ac:dyDescent="0.25">
      <c r="B24" s="23"/>
      <c r="C24" s="170" t="s">
        <v>8</v>
      </c>
      <c r="D24" s="95">
        <v>232.76</v>
      </c>
      <c r="F24" s="2"/>
      <c r="H24" s="4"/>
      <c r="I24" s="5"/>
      <c r="K24" s="4"/>
      <c r="Q24" s="2"/>
    </row>
    <row r="25" spans="2:20" x14ac:dyDescent="0.25">
      <c r="B25" s="23"/>
      <c r="C25" s="24" t="s">
        <v>9</v>
      </c>
      <c r="D25" s="95">
        <v>217.17</v>
      </c>
      <c r="F25" s="2"/>
      <c r="H25" s="4"/>
      <c r="I25" s="5"/>
      <c r="K25" s="4"/>
      <c r="Q25" s="2"/>
    </row>
    <row r="26" spans="2:20" x14ac:dyDescent="0.25">
      <c r="B26" s="23"/>
      <c r="C26" s="170" t="s">
        <v>10</v>
      </c>
      <c r="D26" s="95">
        <v>153.56</v>
      </c>
      <c r="F26" s="2"/>
      <c r="H26" s="4"/>
      <c r="I26" s="5"/>
      <c r="K26" s="4"/>
      <c r="Q26" s="2"/>
    </row>
    <row r="27" spans="2:20" x14ac:dyDescent="0.25">
      <c r="B27" s="23"/>
      <c r="C27" s="24" t="s">
        <v>11</v>
      </c>
      <c r="D27" s="95">
        <v>174.69</v>
      </c>
      <c r="F27" s="2"/>
      <c r="H27" s="4"/>
      <c r="I27" s="5"/>
      <c r="K27" s="4"/>
      <c r="Q27" s="2"/>
    </row>
    <row r="28" spans="2:20" ht="15.75" thickBot="1" x14ac:dyDescent="0.3">
      <c r="B28" s="34"/>
      <c r="C28" s="172" t="s">
        <v>12</v>
      </c>
      <c r="D28" s="98">
        <v>216.14</v>
      </c>
      <c r="F28" s="2"/>
      <c r="H28" s="4"/>
      <c r="I28" s="5"/>
      <c r="K28" s="4"/>
      <c r="Q28" s="2"/>
    </row>
    <row r="29" spans="2:20" x14ac:dyDescent="0.25">
      <c r="B29" s="97" t="s">
        <v>121</v>
      </c>
      <c r="C29" s="173" t="s">
        <v>32</v>
      </c>
      <c r="D29" s="99">
        <v>248.14</v>
      </c>
      <c r="F29" s="2"/>
      <c r="H29" s="4"/>
      <c r="I29" s="5"/>
      <c r="K29" s="4"/>
      <c r="Q29" s="2"/>
    </row>
    <row r="30" spans="2:20" x14ac:dyDescent="0.25">
      <c r="B30" s="23"/>
      <c r="C30" s="170" t="s">
        <v>26</v>
      </c>
      <c r="D30" s="95">
        <v>262.93</v>
      </c>
      <c r="F30" s="2"/>
      <c r="H30" s="4"/>
      <c r="I30" s="5"/>
      <c r="K30" s="4"/>
      <c r="Q30" s="2"/>
    </row>
    <row r="31" spans="2:20" x14ac:dyDescent="0.25">
      <c r="B31" s="23"/>
      <c r="C31" s="24" t="s">
        <v>27</v>
      </c>
      <c r="D31" s="95">
        <v>214.17</v>
      </c>
      <c r="F31" s="2"/>
      <c r="H31" s="4"/>
      <c r="I31" s="5"/>
      <c r="K31" s="4"/>
      <c r="Q31" s="2"/>
    </row>
    <row r="32" spans="2:20" x14ac:dyDescent="0.25">
      <c r="B32" s="23"/>
      <c r="C32" s="170" t="s">
        <v>28</v>
      </c>
      <c r="D32" s="95">
        <v>191.37</v>
      </c>
      <c r="F32" s="2"/>
      <c r="H32" s="4"/>
      <c r="I32" s="5"/>
      <c r="K32" s="4"/>
      <c r="Q32" s="2"/>
    </row>
    <row r="33" spans="2:17" x14ac:dyDescent="0.25">
      <c r="B33" s="23"/>
      <c r="C33" s="170" t="s">
        <v>29</v>
      </c>
      <c r="D33" s="95">
        <v>175.24</v>
      </c>
      <c r="F33" s="2" t="s">
        <v>79</v>
      </c>
      <c r="H33" s="4"/>
      <c r="I33" s="5"/>
      <c r="K33" s="4"/>
      <c r="Q33" s="2"/>
    </row>
    <row r="34" spans="2:17" x14ac:dyDescent="0.25">
      <c r="B34" s="23"/>
      <c r="C34" s="24" t="s">
        <v>30</v>
      </c>
      <c r="D34" s="95">
        <v>218.28</v>
      </c>
      <c r="F34" s="2"/>
      <c r="H34" s="4"/>
      <c r="I34" s="5"/>
      <c r="K34" s="4"/>
      <c r="Q34" s="2"/>
    </row>
    <row r="35" spans="2:17" x14ac:dyDescent="0.25">
      <c r="B35" s="23"/>
      <c r="C35" s="24" t="s">
        <v>31</v>
      </c>
      <c r="D35" s="95">
        <v>196.03</v>
      </c>
      <c r="F35" s="174" t="s">
        <v>187</v>
      </c>
      <c r="G35" s="174"/>
      <c r="H35" s="175"/>
      <c r="I35" s="176"/>
      <c r="J35" s="176"/>
      <c r="K35" s="175"/>
      <c r="L35" s="175"/>
      <c r="M35" s="175"/>
      <c r="Q35" s="2"/>
    </row>
    <row r="36" spans="2:17" ht="15.75" thickBot="1" x14ac:dyDescent="0.3">
      <c r="B36" s="43"/>
      <c r="C36" s="171" t="s">
        <v>25</v>
      </c>
      <c r="D36" s="96">
        <v>274.29000000000002</v>
      </c>
      <c r="F36" s="2"/>
      <c r="H36" s="4"/>
      <c r="I36" s="5"/>
      <c r="K36" s="4"/>
      <c r="Q36" s="2"/>
    </row>
    <row r="37" spans="2:17" x14ac:dyDescent="0.25">
      <c r="B37" s="93" t="s">
        <v>122</v>
      </c>
      <c r="C37" s="169" t="s">
        <v>33</v>
      </c>
      <c r="D37" s="94">
        <v>179.93</v>
      </c>
      <c r="F37" s="2"/>
      <c r="H37" s="4"/>
      <c r="I37" s="5"/>
      <c r="K37" s="4"/>
      <c r="Q37" s="2"/>
    </row>
    <row r="38" spans="2:17" x14ac:dyDescent="0.25">
      <c r="B38" s="23"/>
      <c r="C38" s="24" t="s">
        <v>34</v>
      </c>
      <c r="D38" s="95">
        <v>168.97</v>
      </c>
      <c r="F38" s="2"/>
      <c r="H38" s="4"/>
      <c r="I38" s="5"/>
      <c r="K38" s="4"/>
      <c r="Q38" s="2"/>
    </row>
    <row r="39" spans="2:17" x14ac:dyDescent="0.25">
      <c r="B39" s="23"/>
      <c r="C39" s="170" t="s">
        <v>35</v>
      </c>
      <c r="D39" s="95">
        <v>189.59</v>
      </c>
      <c r="F39" s="2"/>
      <c r="H39" s="4"/>
      <c r="I39" s="5"/>
      <c r="K39" s="4"/>
      <c r="Q39" s="2"/>
    </row>
    <row r="40" spans="2:17" x14ac:dyDescent="0.25">
      <c r="B40" s="23"/>
      <c r="C40" s="24" t="s">
        <v>36</v>
      </c>
      <c r="D40" s="95">
        <v>192.91</v>
      </c>
      <c r="F40" s="2"/>
      <c r="H40" s="4"/>
      <c r="I40" s="5"/>
      <c r="K40" s="4"/>
      <c r="Q40" s="2"/>
    </row>
    <row r="41" spans="2:17" x14ac:dyDescent="0.25">
      <c r="B41" s="23"/>
      <c r="C41" s="170" t="s">
        <v>37</v>
      </c>
      <c r="D41" s="95">
        <v>228.4</v>
      </c>
      <c r="F41" s="2"/>
      <c r="H41" s="4"/>
      <c r="I41" s="5"/>
      <c r="K41" s="4"/>
      <c r="Q41" s="2"/>
    </row>
    <row r="42" spans="2:17" x14ac:dyDescent="0.25">
      <c r="B42" s="23"/>
      <c r="C42" s="24" t="s">
        <v>38</v>
      </c>
      <c r="D42" s="95">
        <v>250.17</v>
      </c>
      <c r="H42" s="4"/>
      <c r="I42" s="5"/>
      <c r="K42" s="4"/>
      <c r="Q42" s="2"/>
    </row>
    <row r="43" spans="2:17" x14ac:dyDescent="0.25">
      <c r="B43" s="23"/>
      <c r="C43" s="24" t="s">
        <v>39</v>
      </c>
      <c r="D43" s="95">
        <v>124.7</v>
      </c>
      <c r="F43" s="2"/>
      <c r="H43" s="4"/>
      <c r="I43" s="5"/>
      <c r="K43" s="4"/>
      <c r="Q43" s="2"/>
    </row>
    <row r="44" spans="2:17" ht="15.75" thickBot="1" x14ac:dyDescent="0.3">
      <c r="B44" s="34"/>
      <c r="C44" s="172" t="s">
        <v>40</v>
      </c>
      <c r="D44" s="98">
        <v>256.37</v>
      </c>
      <c r="F44" s="2"/>
      <c r="H44" s="4"/>
      <c r="I44" s="5"/>
      <c r="K44" s="4"/>
      <c r="Q44" s="2"/>
    </row>
    <row r="45" spans="2:17" x14ac:dyDescent="0.25">
      <c r="B45" s="97" t="s">
        <v>123</v>
      </c>
      <c r="C45" s="22" t="s">
        <v>41</v>
      </c>
      <c r="D45" s="99">
        <v>57.78</v>
      </c>
      <c r="F45" s="2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2"/>
    </row>
    <row r="46" spans="2:17" x14ac:dyDescent="0.25">
      <c r="B46" s="23"/>
      <c r="C46" s="24" t="s">
        <v>42</v>
      </c>
      <c r="D46" s="95">
        <v>152.74</v>
      </c>
      <c r="F46" s="2"/>
      <c r="H46" s="4"/>
      <c r="I46" s="5"/>
      <c r="K46" s="4"/>
      <c r="Q46" s="2"/>
    </row>
    <row r="47" spans="2:17" x14ac:dyDescent="0.25">
      <c r="B47" s="23"/>
      <c r="C47" s="170" t="s">
        <v>43</v>
      </c>
      <c r="D47" s="95">
        <v>216.39</v>
      </c>
      <c r="F47" s="2"/>
      <c r="H47" s="4"/>
      <c r="I47" s="5"/>
      <c r="K47" s="4"/>
      <c r="Q47" s="2"/>
    </row>
    <row r="48" spans="2:17" x14ac:dyDescent="0.25">
      <c r="B48" s="23"/>
      <c r="C48" s="170" t="s">
        <v>44</v>
      </c>
      <c r="D48" s="95">
        <v>154.88</v>
      </c>
      <c r="F48" s="2"/>
      <c r="H48" s="4"/>
      <c r="I48" s="5"/>
      <c r="K48" s="4"/>
      <c r="Q48" s="2"/>
    </row>
    <row r="49" spans="1:17" x14ac:dyDescent="0.25">
      <c r="B49" s="23"/>
      <c r="C49" s="170" t="s">
        <v>45</v>
      </c>
      <c r="D49" s="95">
        <v>210.09</v>
      </c>
      <c r="F49" s="2"/>
      <c r="H49" s="4"/>
      <c r="I49" s="5"/>
      <c r="K49" s="4"/>
      <c r="Q49" s="2"/>
    </row>
    <row r="50" spans="1:17" x14ac:dyDescent="0.25">
      <c r="B50" s="23"/>
      <c r="C50" s="24" t="s">
        <v>46</v>
      </c>
      <c r="D50" s="95">
        <v>74.540000000000006</v>
      </c>
      <c r="F50" s="2"/>
      <c r="H50" s="4"/>
      <c r="I50" s="5"/>
      <c r="K50" s="4"/>
      <c r="Q50" s="2"/>
    </row>
    <row r="51" spans="1:17" x14ac:dyDescent="0.25">
      <c r="B51" s="23"/>
      <c r="C51" s="170" t="s">
        <v>47</v>
      </c>
      <c r="D51" s="95">
        <v>232.21</v>
      </c>
      <c r="F51" s="2"/>
      <c r="H51" s="4"/>
      <c r="I51" s="5"/>
      <c r="K51" s="4"/>
      <c r="Q51" s="2"/>
    </row>
    <row r="52" spans="1:17" ht="15.75" thickBot="1" x14ac:dyDescent="0.3">
      <c r="B52" s="43"/>
      <c r="C52" s="171" t="s">
        <v>48</v>
      </c>
      <c r="D52" s="96">
        <v>216.4</v>
      </c>
      <c r="F52" s="2"/>
      <c r="H52" s="4"/>
      <c r="I52" s="5"/>
      <c r="K52" s="4"/>
      <c r="Q52" s="2"/>
    </row>
    <row r="53" spans="1:17" x14ac:dyDescent="0.25">
      <c r="B53" s="19" t="s">
        <v>78</v>
      </c>
      <c r="C53" s="169" t="s">
        <v>49</v>
      </c>
      <c r="D53" s="94">
        <v>95.77</v>
      </c>
      <c r="F53" s="2"/>
      <c r="H53" s="4"/>
      <c r="I53" s="5"/>
      <c r="K53" s="4"/>
      <c r="Q53" s="2"/>
    </row>
    <row r="54" spans="1:17" x14ac:dyDescent="0.25">
      <c r="B54" s="23"/>
      <c r="C54" s="170" t="s">
        <v>50</v>
      </c>
      <c r="D54" s="95">
        <v>153.82</v>
      </c>
      <c r="F54" s="2"/>
      <c r="H54" s="4"/>
      <c r="I54" s="5"/>
      <c r="K54" s="4"/>
      <c r="Q54" s="2"/>
    </row>
    <row r="55" spans="1:17" ht="15.75" thickBot="1" x14ac:dyDescent="0.3">
      <c r="B55" s="34"/>
      <c r="C55" s="172" t="s">
        <v>51</v>
      </c>
      <c r="D55" s="98">
        <v>31.83</v>
      </c>
      <c r="F55" s="2"/>
      <c r="H55" s="4"/>
      <c r="I55" s="5"/>
      <c r="K55" s="4"/>
      <c r="Q55" s="2"/>
    </row>
    <row r="56" spans="1:17" x14ac:dyDescent="0.25">
      <c r="F56" s="2"/>
      <c r="H56" s="4"/>
      <c r="I56" s="5"/>
      <c r="K56" s="4"/>
      <c r="Q56" s="2"/>
    </row>
    <row r="57" spans="1:17" x14ac:dyDescent="0.25">
      <c r="F57" s="2"/>
      <c r="H57" s="4"/>
      <c r="I57" s="5"/>
      <c r="K57" s="4"/>
      <c r="Q57" s="2"/>
    </row>
    <row r="58" spans="1:17" x14ac:dyDescent="0.25">
      <c r="B58" s="1" t="s">
        <v>80</v>
      </c>
      <c r="C58" s="117" t="s">
        <v>112</v>
      </c>
      <c r="D58" s="114"/>
      <c r="F58" s="2"/>
      <c r="H58" s="4"/>
      <c r="I58" s="5"/>
      <c r="K58" s="4"/>
      <c r="Q58" s="2"/>
    </row>
    <row r="59" spans="1:17" x14ac:dyDescent="0.25">
      <c r="F59" s="2"/>
      <c r="H59" s="4"/>
      <c r="I59" s="5"/>
      <c r="K59" s="4"/>
      <c r="Q59" s="2"/>
    </row>
    <row r="60" spans="1:17" x14ac:dyDescent="0.25">
      <c r="B60" s="179" t="s">
        <v>108</v>
      </c>
      <c r="C60" s="179"/>
      <c r="D60" s="179"/>
      <c r="E60" s="179"/>
      <c r="F60" s="179"/>
      <c r="G60" s="179"/>
      <c r="H60" s="116"/>
      <c r="I60" s="5"/>
      <c r="K60" s="4"/>
      <c r="Q60" s="2"/>
    </row>
    <row r="61" spans="1:17" x14ac:dyDescent="0.25">
      <c r="A61" s="2" t="s">
        <v>110</v>
      </c>
      <c r="B61" s="5">
        <v>0</v>
      </c>
      <c r="C61" s="5">
        <v>1</v>
      </c>
      <c r="D61" s="5">
        <v>2</v>
      </c>
      <c r="E61" s="5">
        <v>3</v>
      </c>
      <c r="F61" s="5">
        <v>4</v>
      </c>
      <c r="G61" s="5">
        <v>5</v>
      </c>
      <c r="H61" s="5"/>
      <c r="I61" s="5"/>
      <c r="K61" s="4"/>
      <c r="Q61" s="2"/>
    </row>
    <row r="62" spans="1:17" x14ac:dyDescent="0.25">
      <c r="B62" s="4">
        <v>145.97999999999999</v>
      </c>
      <c r="C62" s="4">
        <v>43.08</v>
      </c>
      <c r="D62" s="4">
        <v>95.66</v>
      </c>
      <c r="E62" s="4">
        <v>175.24</v>
      </c>
      <c r="F62" s="4">
        <v>124.7</v>
      </c>
      <c r="G62" s="4">
        <v>57.78</v>
      </c>
      <c r="H62" s="4"/>
      <c r="J62" s="4"/>
      <c r="K62" s="4"/>
    </row>
    <row r="63" spans="1:17" x14ac:dyDescent="0.25">
      <c r="B63" s="4">
        <v>157.38999999999999</v>
      </c>
      <c r="C63" s="4">
        <v>103.86</v>
      </c>
      <c r="D63" s="4">
        <v>153.56</v>
      </c>
      <c r="E63" s="4">
        <v>191.37</v>
      </c>
      <c r="F63" s="4">
        <v>168.97</v>
      </c>
      <c r="G63" s="4">
        <v>74.540000000000006</v>
      </c>
      <c r="H63" s="4"/>
      <c r="J63" s="4"/>
      <c r="K63" s="4"/>
    </row>
    <row r="64" spans="1:17" x14ac:dyDescent="0.25">
      <c r="B64" s="4">
        <v>188.48</v>
      </c>
      <c r="C64" s="4">
        <v>164.71</v>
      </c>
      <c r="D64" s="4">
        <v>174.69</v>
      </c>
      <c r="E64" s="4">
        <v>196.03</v>
      </c>
      <c r="F64" s="4">
        <v>179.93</v>
      </c>
      <c r="G64" s="4">
        <v>152.74</v>
      </c>
      <c r="H64" s="4"/>
      <c r="J64" s="4"/>
      <c r="K64" s="4"/>
    </row>
    <row r="65" spans="1:17" x14ac:dyDescent="0.25">
      <c r="B65" s="4">
        <v>205.54</v>
      </c>
      <c r="C65" s="4">
        <v>181.58</v>
      </c>
      <c r="D65" s="4">
        <v>192.17</v>
      </c>
      <c r="E65" s="4">
        <v>214.17</v>
      </c>
      <c r="F65" s="4">
        <v>189.59</v>
      </c>
      <c r="G65" s="4">
        <v>154.88</v>
      </c>
      <c r="H65" s="4"/>
      <c r="J65" s="4"/>
      <c r="K65" s="4"/>
    </row>
    <row r="66" spans="1:17" x14ac:dyDescent="0.25">
      <c r="B66" s="4">
        <v>210.08</v>
      </c>
      <c r="C66" s="4">
        <v>187.91</v>
      </c>
      <c r="D66" s="4">
        <v>216.14</v>
      </c>
      <c r="E66" s="4">
        <v>218.28</v>
      </c>
      <c r="F66" s="4">
        <v>192.91</v>
      </c>
      <c r="G66" s="4">
        <v>210.09</v>
      </c>
      <c r="H66" s="4"/>
      <c r="J66" s="4"/>
      <c r="K66" s="4"/>
    </row>
    <row r="67" spans="1:17" x14ac:dyDescent="0.25">
      <c r="B67" s="4">
        <v>230.87</v>
      </c>
      <c r="C67" s="4">
        <v>263.70999999999998</v>
      </c>
      <c r="D67" s="4">
        <v>217.17</v>
      </c>
      <c r="E67" s="4">
        <v>248.14</v>
      </c>
      <c r="F67" s="4">
        <v>228.4</v>
      </c>
      <c r="G67" s="4">
        <v>216.39</v>
      </c>
      <c r="H67" s="4"/>
      <c r="J67" s="4"/>
      <c r="K67" s="4"/>
    </row>
    <row r="68" spans="1:17" x14ac:dyDescent="0.25">
      <c r="B68" s="4">
        <v>233.07</v>
      </c>
      <c r="C68" s="4">
        <v>266.70999999999998</v>
      </c>
      <c r="D68" s="4">
        <v>232.76</v>
      </c>
      <c r="E68" s="4">
        <v>262.93</v>
      </c>
      <c r="F68" s="4">
        <v>250.17</v>
      </c>
      <c r="G68" s="4">
        <v>216.4</v>
      </c>
      <c r="H68" s="4"/>
    </row>
    <row r="69" spans="1:17" x14ac:dyDescent="0.25">
      <c r="B69" s="4">
        <v>279.5</v>
      </c>
      <c r="C69" s="4">
        <v>272.82</v>
      </c>
      <c r="D69" s="4">
        <v>260.36</v>
      </c>
      <c r="E69" s="4">
        <v>274.29000000000002</v>
      </c>
      <c r="F69" s="4">
        <v>256.37</v>
      </c>
      <c r="G69" s="4">
        <v>232.21</v>
      </c>
      <c r="H69" s="4"/>
    </row>
    <row r="70" spans="1:17" x14ac:dyDescent="0.25">
      <c r="B70" s="47"/>
      <c r="C70" s="47"/>
      <c r="D70" s="46"/>
      <c r="E70" s="47"/>
      <c r="F70" s="46"/>
      <c r="G70" s="47"/>
      <c r="H70" s="47"/>
      <c r="I70" s="46"/>
      <c r="K70" s="4"/>
      <c r="Q70" s="2"/>
    </row>
    <row r="71" spans="1:17" x14ac:dyDescent="0.25">
      <c r="B71" s="179" t="s">
        <v>109</v>
      </c>
      <c r="C71" s="179"/>
      <c r="D71" s="179"/>
      <c r="E71" s="179"/>
      <c r="F71" s="179"/>
      <c r="G71" s="102"/>
      <c r="H71" s="102"/>
      <c r="K71" s="4"/>
      <c r="Q71" s="2"/>
    </row>
    <row r="72" spans="1:17" x14ac:dyDescent="0.25">
      <c r="A72" s="2" t="s">
        <v>110</v>
      </c>
      <c r="B72" s="114" t="s">
        <v>82</v>
      </c>
      <c r="C72" s="114" t="s">
        <v>83</v>
      </c>
      <c r="D72" s="114"/>
      <c r="E72" s="114"/>
      <c r="F72" s="114"/>
      <c r="G72" s="114"/>
      <c r="H72" s="114" t="s">
        <v>111</v>
      </c>
      <c r="I72" s="114" t="s">
        <v>86</v>
      </c>
      <c r="K72" s="4"/>
      <c r="Q72" s="2"/>
    </row>
    <row r="73" spans="1:17" x14ac:dyDescent="0.25">
      <c r="A73" s="113">
        <v>0</v>
      </c>
      <c r="B73" s="4">
        <v>145.97999999999999</v>
      </c>
      <c r="C73" s="4">
        <v>157.38999999999999</v>
      </c>
      <c r="D73" s="4">
        <v>188.48</v>
      </c>
      <c r="E73" s="4">
        <v>205.54</v>
      </c>
      <c r="F73" s="4">
        <v>210.08</v>
      </c>
      <c r="G73" s="4">
        <v>230.87</v>
      </c>
      <c r="H73" s="4">
        <v>233.07</v>
      </c>
      <c r="I73" s="4">
        <v>279.5</v>
      </c>
      <c r="K73" s="4"/>
      <c r="Q73" s="2"/>
    </row>
    <row r="74" spans="1:17" x14ac:dyDescent="0.25">
      <c r="A74" s="113">
        <v>1</v>
      </c>
      <c r="B74" s="4">
        <v>43.08</v>
      </c>
      <c r="C74" s="4">
        <v>103.86</v>
      </c>
      <c r="D74" s="4">
        <v>164.71</v>
      </c>
      <c r="E74" s="4">
        <v>181.58</v>
      </c>
      <c r="F74" s="4">
        <v>187.91</v>
      </c>
      <c r="G74" s="4">
        <v>263.70999999999998</v>
      </c>
      <c r="H74" s="4">
        <v>266.70999999999998</v>
      </c>
      <c r="I74" s="4">
        <v>272.82</v>
      </c>
      <c r="K74" s="4"/>
      <c r="Q74" s="2"/>
    </row>
    <row r="75" spans="1:17" x14ac:dyDescent="0.25">
      <c r="A75" s="113">
        <v>2</v>
      </c>
      <c r="B75" s="4">
        <v>95.66</v>
      </c>
      <c r="C75" s="4">
        <v>153.56</v>
      </c>
      <c r="D75" s="4">
        <v>174.69</v>
      </c>
      <c r="E75" s="4">
        <v>192.17</v>
      </c>
      <c r="F75" s="4">
        <v>216.14</v>
      </c>
      <c r="G75" s="4">
        <v>217.17</v>
      </c>
      <c r="H75" s="4">
        <v>232.76</v>
      </c>
      <c r="I75" s="4">
        <v>260.36</v>
      </c>
      <c r="K75" s="4"/>
      <c r="Q75" s="2"/>
    </row>
    <row r="76" spans="1:17" x14ac:dyDescent="0.25">
      <c r="A76" s="113">
        <v>3</v>
      </c>
      <c r="B76" s="4">
        <v>175.24</v>
      </c>
      <c r="C76" s="4">
        <v>191.37</v>
      </c>
      <c r="D76" s="4">
        <v>196.03</v>
      </c>
      <c r="E76" s="4">
        <v>214.17</v>
      </c>
      <c r="F76" s="4">
        <v>218.28</v>
      </c>
      <c r="G76" s="4">
        <v>248.14</v>
      </c>
      <c r="H76" s="4">
        <v>262.93</v>
      </c>
      <c r="I76" s="4">
        <v>274.29000000000002</v>
      </c>
      <c r="K76" s="4"/>
      <c r="Q76" s="2"/>
    </row>
    <row r="77" spans="1:17" x14ac:dyDescent="0.25">
      <c r="A77" s="113">
        <v>4</v>
      </c>
      <c r="B77" s="4">
        <v>124.7</v>
      </c>
      <c r="C77" s="4">
        <v>168.97</v>
      </c>
      <c r="D77" s="4">
        <v>179.93</v>
      </c>
      <c r="E77" s="4">
        <v>189.59</v>
      </c>
      <c r="F77" s="4">
        <v>192.91</v>
      </c>
      <c r="G77" s="4">
        <v>228.4</v>
      </c>
      <c r="H77" s="4">
        <v>250.17</v>
      </c>
      <c r="I77" s="4">
        <v>256.37</v>
      </c>
      <c r="K77" s="4"/>
      <c r="Q77" s="2"/>
    </row>
    <row r="78" spans="1:17" x14ac:dyDescent="0.25">
      <c r="A78" s="113">
        <v>5</v>
      </c>
      <c r="B78" s="4">
        <v>57.78</v>
      </c>
      <c r="C78" s="4">
        <v>74.540000000000006</v>
      </c>
      <c r="D78" s="4">
        <v>152.74</v>
      </c>
      <c r="E78" s="4">
        <v>154.88</v>
      </c>
      <c r="F78" s="4">
        <v>210.09</v>
      </c>
      <c r="G78" s="4">
        <v>216.39</v>
      </c>
      <c r="H78" s="4">
        <v>216.4</v>
      </c>
      <c r="I78" s="4">
        <v>232.21</v>
      </c>
    </row>
    <row r="79" spans="1:17" x14ac:dyDescent="0.25">
      <c r="A79" s="113"/>
      <c r="B79" s="46"/>
      <c r="C79" s="46"/>
      <c r="D79" s="46"/>
      <c r="E79" s="46"/>
      <c r="F79" s="46"/>
      <c r="G79" s="46"/>
      <c r="H79" s="46"/>
      <c r="I79" s="46"/>
    </row>
    <row r="80" spans="1:17" x14ac:dyDescent="0.25">
      <c r="B80" s="5"/>
      <c r="C80" s="4"/>
      <c r="D80" s="4"/>
      <c r="E80" s="4"/>
      <c r="F80" s="4"/>
      <c r="G80" s="50"/>
      <c r="H80" s="50"/>
      <c r="I80" s="50"/>
      <c r="J80" s="51"/>
    </row>
    <row r="81" spans="2:19" x14ac:dyDescent="0.25">
      <c r="B81" s="113"/>
      <c r="C81" s="113"/>
      <c r="D81" s="113"/>
      <c r="E81" s="46"/>
      <c r="G81" s="50"/>
      <c r="H81" s="52"/>
      <c r="I81" s="50"/>
      <c r="J81" s="51"/>
    </row>
    <row r="82" spans="2:19" x14ac:dyDescent="0.25">
      <c r="B82" s="49"/>
      <c r="C82" s="49"/>
      <c r="D82" s="49"/>
      <c r="E82" s="49"/>
      <c r="F82" s="50"/>
      <c r="G82" s="50"/>
      <c r="H82" s="52"/>
      <c r="I82" s="50"/>
      <c r="J82" s="51"/>
      <c r="L82" s="46"/>
      <c r="M82" s="46"/>
      <c r="N82" s="46"/>
      <c r="P82" s="46"/>
      <c r="Q82" s="46"/>
      <c r="R82" s="46"/>
    </row>
    <row r="83" spans="2:19" x14ac:dyDescent="0.25">
      <c r="B83" s="51" t="s">
        <v>82</v>
      </c>
      <c r="C83" s="51" t="s">
        <v>83</v>
      </c>
      <c r="D83" s="51" t="s">
        <v>84</v>
      </c>
      <c r="E83" s="120" t="s">
        <v>85</v>
      </c>
      <c r="F83" s="2"/>
      <c r="G83" s="51" t="s">
        <v>83</v>
      </c>
      <c r="H83" s="51" t="s">
        <v>84</v>
      </c>
      <c r="I83" s="51" t="s">
        <v>86</v>
      </c>
      <c r="J83" s="120" t="s">
        <v>87</v>
      </c>
      <c r="L83" s="46"/>
      <c r="M83" s="46"/>
      <c r="N83" s="46"/>
      <c r="P83" s="46"/>
      <c r="Q83" s="46"/>
      <c r="R83" s="46"/>
    </row>
    <row r="84" spans="2:19" x14ac:dyDescent="0.25">
      <c r="B84" s="4">
        <v>145.97999999999999</v>
      </c>
      <c r="C84" s="4">
        <v>157.38999999999999</v>
      </c>
      <c r="D84" s="4">
        <v>233.07</v>
      </c>
      <c r="E84" s="121">
        <f t="shared" ref="E84:E90" si="1">(C84-B84)/(D84-B84)</f>
        <v>0.13101389367321156</v>
      </c>
      <c r="F84" s="2"/>
      <c r="G84" s="4">
        <v>157.38999999999999</v>
      </c>
      <c r="H84" s="4">
        <v>233.07</v>
      </c>
      <c r="I84" s="4">
        <v>279.5</v>
      </c>
      <c r="J84" s="120">
        <f t="shared" ref="J84:J90" si="2">(I84-H84)/(I84-G84)</f>
        <v>0.38023093931700924</v>
      </c>
      <c r="L84" s="46"/>
      <c r="M84" s="46"/>
      <c r="N84" s="46"/>
      <c r="P84" s="46"/>
      <c r="Q84" s="46"/>
      <c r="R84" s="46"/>
    </row>
    <row r="85" spans="2:19" x14ac:dyDescent="0.25">
      <c r="B85" s="4">
        <v>43.08</v>
      </c>
      <c r="C85" s="4">
        <v>103.86</v>
      </c>
      <c r="D85" s="4">
        <v>266.70999999999998</v>
      </c>
      <c r="E85" s="121">
        <f t="shared" si="1"/>
        <v>0.27178822161606225</v>
      </c>
      <c r="F85" s="2"/>
      <c r="G85" s="4">
        <v>103.86</v>
      </c>
      <c r="H85" s="4">
        <v>266.70999999999998</v>
      </c>
      <c r="I85" s="4">
        <v>272.82</v>
      </c>
      <c r="J85" s="120">
        <f t="shared" si="2"/>
        <v>3.6162405303030387E-2</v>
      </c>
      <c r="L85" s="46"/>
      <c r="M85" s="46"/>
      <c r="N85" s="46"/>
      <c r="P85" s="46"/>
      <c r="Q85" s="46"/>
      <c r="R85" s="46"/>
    </row>
    <row r="86" spans="2:19" x14ac:dyDescent="0.25">
      <c r="B86" s="4">
        <v>95.66</v>
      </c>
      <c r="C86" s="4">
        <v>153.56</v>
      </c>
      <c r="D86" s="4">
        <v>232.76</v>
      </c>
      <c r="E86" s="121">
        <f t="shared" si="1"/>
        <v>0.42231947483588628</v>
      </c>
      <c r="F86" s="2"/>
      <c r="G86" s="4">
        <v>153.56</v>
      </c>
      <c r="H86" s="4">
        <v>232.76</v>
      </c>
      <c r="I86" s="4">
        <v>260.36</v>
      </c>
      <c r="J86" s="120">
        <f t="shared" si="2"/>
        <v>0.25842696629213502</v>
      </c>
      <c r="L86" s="46"/>
      <c r="M86" s="46"/>
      <c r="N86" s="46"/>
      <c r="P86" s="46"/>
      <c r="Q86" s="46"/>
      <c r="R86" s="46"/>
    </row>
    <row r="87" spans="2:19" x14ac:dyDescent="0.25">
      <c r="B87" s="4">
        <v>175.24</v>
      </c>
      <c r="C87" s="4">
        <v>191.37</v>
      </c>
      <c r="D87" s="4">
        <v>262.93</v>
      </c>
      <c r="E87" s="121">
        <f t="shared" si="1"/>
        <v>0.18394343710799402</v>
      </c>
      <c r="F87" s="2"/>
      <c r="G87" s="4">
        <v>191.37</v>
      </c>
      <c r="H87" s="4">
        <v>262.93</v>
      </c>
      <c r="I87" s="4">
        <v>274.29000000000002</v>
      </c>
      <c r="J87" s="120">
        <f t="shared" si="2"/>
        <v>0.1369995176073325</v>
      </c>
      <c r="L87" s="46"/>
      <c r="M87" s="46"/>
      <c r="N87" s="46"/>
      <c r="P87" s="46"/>
      <c r="Q87" s="46"/>
      <c r="R87" s="46"/>
    </row>
    <row r="88" spans="2:19" x14ac:dyDescent="0.25">
      <c r="B88" s="4">
        <v>124.7</v>
      </c>
      <c r="C88" s="4">
        <v>168.97</v>
      </c>
      <c r="D88" s="4">
        <v>250.17</v>
      </c>
      <c r="E88" s="121">
        <f t="shared" si="1"/>
        <v>0.35283334661672117</v>
      </c>
      <c r="F88" s="2"/>
      <c r="G88" s="4">
        <v>168.97</v>
      </c>
      <c r="H88" s="4">
        <v>250.17</v>
      </c>
      <c r="I88" s="4">
        <v>256.37</v>
      </c>
      <c r="J88" s="120">
        <f t="shared" si="2"/>
        <v>7.0938215102975016E-2</v>
      </c>
      <c r="L88" s="46"/>
      <c r="M88" s="46"/>
      <c r="N88" s="46"/>
      <c r="P88" s="46"/>
      <c r="Q88" s="46"/>
      <c r="R88" s="46"/>
    </row>
    <row r="89" spans="2:19" x14ac:dyDescent="0.25">
      <c r="B89" s="4">
        <v>57.78</v>
      </c>
      <c r="C89" s="4">
        <v>74.540000000000006</v>
      </c>
      <c r="D89" s="4">
        <v>216.4</v>
      </c>
      <c r="E89" s="121">
        <f t="shared" si="1"/>
        <v>0.10566132896229986</v>
      </c>
      <c r="F89" s="2"/>
      <c r="G89" s="4">
        <v>74.540000000000006</v>
      </c>
      <c r="H89" s="4">
        <v>216.4</v>
      </c>
      <c r="I89" s="4">
        <v>232.21</v>
      </c>
      <c r="J89" s="120">
        <f t="shared" si="2"/>
        <v>0.10027272150694488</v>
      </c>
      <c r="L89" s="46"/>
    </row>
    <row r="90" spans="2:19" x14ac:dyDescent="0.25">
      <c r="B90" s="46"/>
      <c r="C90" s="46"/>
      <c r="D90" s="46"/>
      <c r="E90" s="49" t="e">
        <f t="shared" si="1"/>
        <v>#DIV/0!</v>
      </c>
      <c r="F90" s="2"/>
      <c r="G90" s="46"/>
      <c r="H90" s="46"/>
      <c r="I90" s="46"/>
      <c r="J90" s="51" t="e">
        <f t="shared" si="2"/>
        <v>#DIV/0!</v>
      </c>
      <c r="L90" s="46"/>
    </row>
    <row r="91" spans="2:19" x14ac:dyDescent="0.25">
      <c r="B91" s="46"/>
      <c r="C91" s="46"/>
      <c r="D91" s="46"/>
      <c r="E91" s="49"/>
      <c r="F91" s="2"/>
      <c r="G91" s="115"/>
      <c r="H91" s="115"/>
      <c r="I91" s="115"/>
      <c r="J91" s="51"/>
      <c r="K91" s="46"/>
      <c r="L91"/>
      <c r="M91"/>
      <c r="N91"/>
      <c r="O91"/>
      <c r="P91" s="46"/>
      <c r="Q91" s="46"/>
      <c r="R91" s="46"/>
      <c r="S91" s="47"/>
    </row>
    <row r="92" spans="2:19" x14ac:dyDescent="0.25">
      <c r="B92" s="46"/>
      <c r="C92" s="46"/>
      <c r="D92" s="54"/>
      <c r="E92" s="49"/>
      <c r="F92" s="2"/>
      <c r="G92" s="115"/>
      <c r="H92" s="115"/>
      <c r="I92" s="115"/>
      <c r="J92" s="51"/>
      <c r="K92" s="46"/>
      <c r="L92"/>
      <c r="M92"/>
      <c r="N92"/>
      <c r="O92"/>
      <c r="P92" s="46"/>
      <c r="Q92" s="46"/>
      <c r="R92" s="46"/>
      <c r="S92" s="47"/>
    </row>
    <row r="93" spans="2:19" x14ac:dyDescent="0.25">
      <c r="B93" s="46"/>
      <c r="C93" s="46"/>
      <c r="D93" s="54"/>
      <c r="E93" s="49"/>
      <c r="F93" s="2"/>
      <c r="G93" s="115"/>
      <c r="H93" s="115"/>
      <c r="I93" s="115"/>
      <c r="J93" s="51"/>
      <c r="K93" s="46"/>
      <c r="L93"/>
      <c r="M93"/>
      <c r="N93"/>
      <c r="O93"/>
      <c r="P93" s="46"/>
      <c r="Q93" s="46"/>
      <c r="R93" s="46"/>
      <c r="S93" s="46"/>
    </row>
    <row r="94" spans="2:19" x14ac:dyDescent="0.25">
      <c r="D94" s="2"/>
      <c r="F94" s="2"/>
      <c r="K94" s="46"/>
      <c r="L94"/>
      <c r="M94"/>
      <c r="N94"/>
      <c r="O94"/>
      <c r="P94" s="46"/>
      <c r="Q94" s="46"/>
      <c r="R94" s="46"/>
      <c r="S94" s="46"/>
    </row>
    <row r="95" spans="2:19" x14ac:dyDescent="0.25">
      <c r="D95" s="2"/>
      <c r="F95" s="2"/>
      <c r="K95" s="46"/>
      <c r="L95"/>
      <c r="M95"/>
      <c r="N95"/>
      <c r="O95"/>
      <c r="P95" s="46"/>
      <c r="Q95" s="46"/>
      <c r="R95" s="46"/>
      <c r="S95" s="47"/>
    </row>
    <row r="96" spans="2:19" x14ac:dyDescent="0.25">
      <c r="B96" s="55" t="s">
        <v>88</v>
      </c>
      <c r="C96" s="55"/>
      <c r="D96" s="55"/>
      <c r="E96" s="55"/>
      <c r="F96" s="55"/>
      <c r="G96" s="55"/>
      <c r="H96" s="55"/>
      <c r="I96" s="55"/>
      <c r="J96" s="56"/>
      <c r="K96" s="46"/>
      <c r="L96"/>
      <c r="M96"/>
      <c r="N96"/>
      <c r="O96"/>
      <c r="P96" s="46"/>
      <c r="Q96" s="46"/>
      <c r="R96" s="46"/>
      <c r="S96" s="46"/>
    </row>
    <row r="97" spans="1:20" ht="15.75" thickBot="1" x14ac:dyDescent="0.3">
      <c r="A97" s="48"/>
      <c r="B97" s="55" t="s">
        <v>89</v>
      </c>
      <c r="C97" s="55"/>
      <c r="D97" s="55"/>
      <c r="E97" s="55"/>
      <c r="F97" s="55"/>
      <c r="G97" s="55"/>
      <c r="H97" s="55"/>
      <c r="I97" s="55"/>
      <c r="J97" s="56"/>
      <c r="K97" s="46"/>
      <c r="L97"/>
      <c r="M97"/>
      <c r="N97"/>
      <c r="O97"/>
      <c r="P97" s="46"/>
      <c r="Q97" s="46"/>
      <c r="R97" s="46"/>
      <c r="S97" s="47"/>
    </row>
    <row r="98" spans="1:20" ht="15.75" thickTop="1" x14ac:dyDescent="0.25">
      <c r="A98" s="48"/>
      <c r="B98" s="180" t="s">
        <v>90</v>
      </c>
      <c r="C98" s="177" t="s">
        <v>91</v>
      </c>
      <c r="D98" s="178"/>
      <c r="E98" s="180" t="s">
        <v>90</v>
      </c>
      <c r="F98" s="177" t="s">
        <v>91</v>
      </c>
      <c r="G98" s="178"/>
      <c r="H98" s="180" t="s">
        <v>90</v>
      </c>
      <c r="I98" s="182" t="s">
        <v>91</v>
      </c>
      <c r="J98" s="183"/>
      <c r="K98"/>
      <c r="L98"/>
      <c r="M98"/>
      <c r="N98"/>
      <c r="O98"/>
      <c r="P98" s="46"/>
      <c r="Q98" s="46"/>
      <c r="R98" s="46"/>
      <c r="S98" s="47"/>
    </row>
    <row r="99" spans="1:20" ht="15.75" thickBot="1" x14ac:dyDescent="0.3">
      <c r="A99" s="48"/>
      <c r="B99" s="181"/>
      <c r="C99" s="57">
        <v>5</v>
      </c>
      <c r="D99" s="58">
        <v>1</v>
      </c>
      <c r="E99" s="181"/>
      <c r="F99" s="57">
        <v>5</v>
      </c>
      <c r="G99" s="59">
        <v>1</v>
      </c>
      <c r="H99" s="181"/>
      <c r="I99" s="57">
        <v>5</v>
      </c>
      <c r="J99" s="60">
        <v>1</v>
      </c>
      <c r="K99"/>
      <c r="L99"/>
      <c r="M99"/>
      <c r="N99"/>
      <c r="O99"/>
      <c r="P99" s="46"/>
      <c r="Q99" s="46"/>
      <c r="R99" s="46"/>
      <c r="S99" s="46"/>
    </row>
    <row r="100" spans="1:20" ht="15.75" thickTop="1" x14ac:dyDescent="0.25">
      <c r="A100" s="48"/>
      <c r="B100" s="61">
        <v>4</v>
      </c>
      <c r="C100" s="62">
        <v>0.76</v>
      </c>
      <c r="D100" s="63">
        <v>0.89</v>
      </c>
      <c r="E100" s="61">
        <v>13</v>
      </c>
      <c r="F100" s="62">
        <v>0.36</v>
      </c>
      <c r="G100" s="64">
        <v>0.46</v>
      </c>
      <c r="H100" s="61">
        <v>22</v>
      </c>
      <c r="I100" s="62">
        <v>0.28999999999999998</v>
      </c>
      <c r="J100" s="65">
        <v>0.38</v>
      </c>
      <c r="K100"/>
      <c r="L100"/>
      <c r="M100"/>
      <c r="N100"/>
      <c r="O100"/>
      <c r="P100" s="46"/>
      <c r="Q100" s="46"/>
      <c r="R100" s="5"/>
      <c r="S100" s="5"/>
    </row>
    <row r="101" spans="1:20" x14ac:dyDescent="0.25">
      <c r="A101" s="48"/>
      <c r="B101" s="66">
        <v>5</v>
      </c>
      <c r="C101" s="67">
        <v>0.64</v>
      </c>
      <c r="D101" s="68">
        <v>0.78</v>
      </c>
      <c r="E101" s="66">
        <v>14</v>
      </c>
      <c r="F101" s="67">
        <v>0.35</v>
      </c>
      <c r="G101" s="69">
        <v>0.45</v>
      </c>
      <c r="H101" s="66">
        <v>23</v>
      </c>
      <c r="I101" s="67">
        <v>0.28000000000000003</v>
      </c>
      <c r="J101" s="70">
        <v>0.37</v>
      </c>
      <c r="K101"/>
      <c r="L101"/>
      <c r="M101"/>
      <c r="N101"/>
      <c r="O101"/>
    </row>
    <row r="102" spans="1:20" x14ac:dyDescent="0.25">
      <c r="A102" s="48"/>
      <c r="B102" s="66">
        <v>6</v>
      </c>
      <c r="C102" s="67">
        <v>0.56000000000000005</v>
      </c>
      <c r="D102" s="68">
        <v>0.7</v>
      </c>
      <c r="E102" s="66">
        <v>15</v>
      </c>
      <c r="F102" s="67">
        <v>0.34</v>
      </c>
      <c r="G102" s="69">
        <v>0.44</v>
      </c>
      <c r="H102" s="66">
        <v>24</v>
      </c>
      <c r="I102" s="67">
        <v>0.28000000000000003</v>
      </c>
      <c r="J102" s="70">
        <v>0.37</v>
      </c>
      <c r="K102"/>
      <c r="L102"/>
      <c r="M102"/>
      <c r="N102"/>
      <c r="O102"/>
    </row>
    <row r="103" spans="1:20" x14ac:dyDescent="0.25">
      <c r="A103" s="48"/>
      <c r="B103" s="66">
        <v>7</v>
      </c>
      <c r="C103" s="67">
        <v>0.51</v>
      </c>
      <c r="D103" s="68">
        <v>0.64</v>
      </c>
      <c r="E103" s="66">
        <v>16</v>
      </c>
      <c r="F103" s="67">
        <v>0.33</v>
      </c>
      <c r="G103" s="69">
        <v>0.43</v>
      </c>
      <c r="H103" s="66">
        <v>25</v>
      </c>
      <c r="I103" s="67">
        <v>0.28000000000000003</v>
      </c>
      <c r="J103" s="70">
        <v>0.36</v>
      </c>
      <c r="K103"/>
      <c r="L103"/>
      <c r="M103"/>
      <c r="N103"/>
      <c r="O103"/>
    </row>
    <row r="104" spans="1:20" x14ac:dyDescent="0.25">
      <c r="A104" s="48"/>
      <c r="B104" s="71">
        <v>8</v>
      </c>
      <c r="C104" s="67">
        <v>0.47</v>
      </c>
      <c r="D104" s="68">
        <v>0.59</v>
      </c>
      <c r="E104" s="66">
        <v>17</v>
      </c>
      <c r="F104" s="67">
        <v>0.32</v>
      </c>
      <c r="G104" s="69">
        <v>0.42</v>
      </c>
      <c r="H104" s="66">
        <v>26</v>
      </c>
      <c r="I104" s="67">
        <v>0.27</v>
      </c>
      <c r="J104" s="70">
        <v>0.36</v>
      </c>
      <c r="K104"/>
      <c r="L104"/>
      <c r="M104"/>
      <c r="N104"/>
      <c r="O104"/>
    </row>
    <row r="105" spans="1:20" x14ac:dyDescent="0.25">
      <c r="A105" s="48"/>
      <c r="B105" s="66">
        <v>9</v>
      </c>
      <c r="C105" s="67">
        <v>0.44</v>
      </c>
      <c r="D105" s="68">
        <v>0.54</v>
      </c>
      <c r="E105" s="66">
        <v>18</v>
      </c>
      <c r="F105" s="67">
        <v>0.31</v>
      </c>
      <c r="G105" s="69">
        <v>0.41</v>
      </c>
      <c r="H105" s="66">
        <v>27</v>
      </c>
      <c r="I105" s="67">
        <v>0.27</v>
      </c>
      <c r="J105" s="70">
        <v>0.35</v>
      </c>
      <c r="K105"/>
      <c r="L105"/>
      <c r="M105"/>
      <c r="N105"/>
      <c r="O105"/>
    </row>
    <row r="106" spans="1:20" x14ac:dyDescent="0.25">
      <c r="A106" s="48"/>
      <c r="B106" s="66">
        <v>10</v>
      </c>
      <c r="C106" s="67">
        <v>0.41</v>
      </c>
      <c r="D106" s="68">
        <v>0.53</v>
      </c>
      <c r="E106" s="66">
        <v>19</v>
      </c>
      <c r="F106" s="67">
        <v>0.31</v>
      </c>
      <c r="G106" s="69">
        <v>0.4</v>
      </c>
      <c r="H106" s="66">
        <v>28</v>
      </c>
      <c r="I106" s="67">
        <v>0.27</v>
      </c>
      <c r="J106" s="70">
        <v>0.35</v>
      </c>
      <c r="K106"/>
      <c r="L106"/>
      <c r="M106"/>
      <c r="N106"/>
      <c r="O106"/>
    </row>
    <row r="107" spans="1:20" x14ac:dyDescent="0.25">
      <c r="B107" s="66">
        <v>11</v>
      </c>
      <c r="C107" s="67">
        <v>0.39</v>
      </c>
      <c r="D107" s="68">
        <v>0.5</v>
      </c>
      <c r="E107" s="66">
        <v>20</v>
      </c>
      <c r="F107" s="67">
        <v>0.3</v>
      </c>
      <c r="G107" s="69">
        <v>0.39</v>
      </c>
      <c r="H107" s="66">
        <v>29</v>
      </c>
      <c r="I107" s="67">
        <v>0.26</v>
      </c>
      <c r="J107" s="70">
        <v>0.34</v>
      </c>
      <c r="K107"/>
      <c r="L107"/>
      <c r="M107"/>
      <c r="N107"/>
      <c r="O107"/>
    </row>
    <row r="108" spans="1:20" ht="15.75" thickBot="1" x14ac:dyDescent="0.3">
      <c r="B108" s="72">
        <v>12</v>
      </c>
      <c r="C108" s="73">
        <v>0.38</v>
      </c>
      <c r="D108" s="74">
        <v>0.48</v>
      </c>
      <c r="E108" s="72">
        <v>21</v>
      </c>
      <c r="F108" s="73">
        <v>0.3</v>
      </c>
      <c r="G108" s="75">
        <v>0.38</v>
      </c>
      <c r="H108" s="72">
        <v>30</v>
      </c>
      <c r="I108" s="73">
        <v>0.26</v>
      </c>
      <c r="J108" s="76">
        <v>0.34</v>
      </c>
      <c r="K108"/>
      <c r="L108"/>
      <c r="M108"/>
      <c r="N108"/>
      <c r="O108"/>
    </row>
    <row r="109" spans="1:20" s="4" customFormat="1" ht="15.75" thickTop="1" x14ac:dyDescent="0.25">
      <c r="A109" s="2"/>
      <c r="B109" s="55"/>
      <c r="C109" s="55"/>
      <c r="D109" s="55"/>
      <c r="E109" s="55"/>
      <c r="F109" s="55"/>
      <c r="G109" s="55"/>
      <c r="H109" s="55"/>
      <c r="I109" s="55"/>
      <c r="J109" s="56"/>
      <c r="K109"/>
      <c r="L109"/>
      <c r="M109"/>
      <c r="N109"/>
      <c r="O109"/>
      <c r="R109" s="2"/>
      <c r="S109" s="2"/>
      <c r="T109" s="2"/>
    </row>
    <row r="110" spans="1:20" s="4" customFormat="1" x14ac:dyDescent="0.25">
      <c r="A110" s="2"/>
      <c r="B110" s="55" t="s">
        <v>92</v>
      </c>
      <c r="C110" s="55"/>
      <c r="D110" s="55"/>
      <c r="E110" s="55"/>
      <c r="F110" s="55"/>
      <c r="G110" s="55"/>
      <c r="H110" s="55"/>
      <c r="I110" s="55"/>
      <c r="J110" s="56"/>
      <c r="K110"/>
      <c r="L110"/>
      <c r="M110"/>
      <c r="N110"/>
      <c r="O110"/>
      <c r="R110" s="2"/>
      <c r="S110" s="2"/>
      <c r="T110" s="2"/>
    </row>
    <row r="111" spans="1:20" s="4" customFormat="1" x14ac:dyDescent="0.25">
      <c r="A111" s="2"/>
      <c r="B111" s="55"/>
      <c r="C111" s="55"/>
      <c r="D111" s="55"/>
      <c r="E111" s="55"/>
      <c r="F111" s="55"/>
      <c r="G111" s="55"/>
      <c r="H111" s="55"/>
      <c r="I111" s="55"/>
      <c r="J111" s="56"/>
      <c r="K111"/>
      <c r="L111"/>
      <c r="M111"/>
      <c r="N111"/>
      <c r="O111"/>
      <c r="R111" s="2"/>
      <c r="S111" s="2"/>
      <c r="T111" s="2"/>
    </row>
    <row r="112" spans="1:20" s="4" customFormat="1" x14ac:dyDescent="0.25">
      <c r="A112" s="2"/>
      <c r="B112" s="55"/>
      <c r="C112" s="55"/>
      <c r="D112" s="55"/>
      <c r="E112" s="55"/>
      <c r="F112" s="55"/>
      <c r="G112" s="55"/>
      <c r="H112" s="55"/>
      <c r="I112" s="55"/>
      <c r="J112" s="56"/>
      <c r="K112"/>
      <c r="L112"/>
      <c r="M112"/>
      <c r="N112"/>
      <c r="O112"/>
      <c r="R112" s="2"/>
      <c r="S112" s="2"/>
      <c r="T112" s="2"/>
    </row>
    <row r="113" spans="1:20" s="4" customFormat="1" x14ac:dyDescent="0.25">
      <c r="A113" s="2"/>
      <c r="B113" s="55"/>
      <c r="C113" s="55"/>
      <c r="D113" s="55"/>
      <c r="E113" s="55"/>
      <c r="F113" s="55"/>
      <c r="G113" s="55"/>
      <c r="H113" s="55"/>
      <c r="I113" s="55"/>
      <c r="J113" s="56"/>
      <c r="K113"/>
      <c r="L113"/>
      <c r="M113"/>
      <c r="N113"/>
      <c r="O113"/>
      <c r="R113" s="2"/>
      <c r="S113" s="2"/>
      <c r="T113" s="2"/>
    </row>
    <row r="114" spans="1:20" s="4" customFormat="1" x14ac:dyDescent="0.25">
      <c r="A114" s="2"/>
      <c r="B114" s="55" t="s">
        <v>93</v>
      </c>
      <c r="C114" s="55"/>
      <c r="D114" s="55"/>
      <c r="E114" s="55"/>
      <c r="F114" s="55"/>
      <c r="G114" s="55"/>
      <c r="H114" s="55"/>
      <c r="I114" s="55"/>
      <c r="J114" s="56"/>
      <c r="K114"/>
      <c r="L114"/>
      <c r="M114"/>
      <c r="N114"/>
      <c r="O114"/>
      <c r="R114" s="2"/>
      <c r="S114" s="2"/>
      <c r="T114" s="2"/>
    </row>
    <row r="115" spans="1:20" s="4" customFormat="1" ht="15.75" thickBot="1" x14ac:dyDescent="0.3">
      <c r="A115" s="2"/>
      <c r="B115" s="55" t="s">
        <v>94</v>
      </c>
      <c r="C115" s="55"/>
      <c r="D115" s="55"/>
      <c r="E115" s="55"/>
      <c r="F115" s="55"/>
      <c r="G115" s="55"/>
      <c r="H115" s="55"/>
      <c r="I115" s="55"/>
      <c r="J115" s="56"/>
      <c r="K115"/>
      <c r="L115"/>
      <c r="M115"/>
      <c r="N115"/>
      <c r="O115"/>
      <c r="R115" s="2"/>
      <c r="S115" s="2"/>
      <c r="T115" s="2"/>
    </row>
    <row r="116" spans="1:20" s="4" customFormat="1" ht="15.75" thickTop="1" x14ac:dyDescent="0.25">
      <c r="A116" s="2"/>
      <c r="B116" s="180" t="s">
        <v>90</v>
      </c>
      <c r="C116" s="184" t="s">
        <v>91</v>
      </c>
      <c r="D116" s="185"/>
      <c r="E116" s="180" t="s">
        <v>90</v>
      </c>
      <c r="F116" s="177" t="s">
        <v>91</v>
      </c>
      <c r="G116" s="178"/>
      <c r="H116" s="180" t="s">
        <v>90</v>
      </c>
      <c r="I116" s="177" t="s">
        <v>91</v>
      </c>
      <c r="J116" s="178"/>
      <c r="K116"/>
      <c r="L116"/>
      <c r="M116"/>
      <c r="N116"/>
      <c r="O116"/>
      <c r="R116" s="2"/>
      <c r="S116" s="2"/>
      <c r="T116" s="2"/>
    </row>
    <row r="117" spans="1:20" s="4" customFormat="1" ht="15.75" thickBot="1" x14ac:dyDescent="0.3">
      <c r="A117" s="2"/>
      <c r="B117" s="181"/>
      <c r="C117" s="57">
        <v>5</v>
      </c>
      <c r="D117" s="59">
        <v>1</v>
      </c>
      <c r="E117" s="181"/>
      <c r="F117" s="57">
        <v>5</v>
      </c>
      <c r="G117" s="58">
        <v>1</v>
      </c>
      <c r="H117" s="181"/>
      <c r="I117" s="57">
        <v>5</v>
      </c>
      <c r="J117" s="60">
        <v>1</v>
      </c>
      <c r="K117"/>
      <c r="L117"/>
      <c r="M117"/>
      <c r="N117"/>
      <c r="O117"/>
      <c r="R117" s="2"/>
      <c r="S117" s="2"/>
      <c r="T117" s="2"/>
    </row>
    <row r="118" spans="1:20" s="4" customFormat="1" ht="15.75" thickTop="1" x14ac:dyDescent="0.25">
      <c r="A118" s="2"/>
      <c r="B118" s="61">
        <v>4</v>
      </c>
      <c r="C118" s="62">
        <v>0.96</v>
      </c>
      <c r="D118" s="64">
        <v>0.99</v>
      </c>
      <c r="E118" s="61">
        <v>13</v>
      </c>
      <c r="F118" s="62">
        <v>0.41</v>
      </c>
      <c r="G118" s="77">
        <v>0.52</v>
      </c>
      <c r="H118" s="61">
        <v>22</v>
      </c>
      <c r="I118" s="62">
        <v>0.32</v>
      </c>
      <c r="J118" s="65">
        <v>0.41</v>
      </c>
      <c r="K118"/>
      <c r="L118"/>
      <c r="M118"/>
      <c r="N118"/>
      <c r="O118"/>
      <c r="R118" s="2"/>
      <c r="S118" s="2"/>
      <c r="T118" s="2"/>
    </row>
    <row r="119" spans="1:20" s="4" customFormat="1" x14ac:dyDescent="0.25">
      <c r="A119" s="2"/>
      <c r="B119" s="66">
        <v>5</v>
      </c>
      <c r="C119" s="67">
        <v>0.81</v>
      </c>
      <c r="D119" s="69">
        <v>0.92</v>
      </c>
      <c r="E119" s="66">
        <v>14</v>
      </c>
      <c r="F119" s="67">
        <v>0.4</v>
      </c>
      <c r="G119" s="78">
        <v>0.5</v>
      </c>
      <c r="H119" s="66">
        <v>23</v>
      </c>
      <c r="I119" s="67">
        <v>0.31</v>
      </c>
      <c r="J119" s="70">
        <v>0.41</v>
      </c>
      <c r="K119"/>
      <c r="L119"/>
      <c r="M119"/>
      <c r="N119"/>
      <c r="O119"/>
      <c r="R119" s="2"/>
      <c r="S119" s="2"/>
      <c r="T119" s="2"/>
    </row>
    <row r="120" spans="1:20" s="4" customFormat="1" x14ac:dyDescent="0.25">
      <c r="A120" s="53"/>
      <c r="B120" s="66">
        <v>6</v>
      </c>
      <c r="C120" s="67">
        <v>0.69</v>
      </c>
      <c r="D120" s="69">
        <v>0.8</v>
      </c>
      <c r="E120" s="66">
        <v>15</v>
      </c>
      <c r="F120" s="67">
        <v>0.38</v>
      </c>
      <c r="G120" s="78">
        <v>0.49</v>
      </c>
      <c r="H120" s="66">
        <v>24</v>
      </c>
      <c r="I120" s="67">
        <v>0.31</v>
      </c>
      <c r="J120" s="70">
        <v>0.4</v>
      </c>
      <c r="K120"/>
      <c r="L120"/>
      <c r="M120"/>
      <c r="N120"/>
      <c r="O120"/>
      <c r="R120" s="2"/>
      <c r="S120" s="2"/>
      <c r="T120" s="2"/>
    </row>
    <row r="121" spans="1:20" s="4" customFormat="1" x14ac:dyDescent="0.25">
      <c r="A121" s="53"/>
      <c r="B121" s="66">
        <v>7</v>
      </c>
      <c r="C121" s="67">
        <v>0.61</v>
      </c>
      <c r="D121" s="69">
        <v>0.74</v>
      </c>
      <c r="E121" s="66">
        <v>16</v>
      </c>
      <c r="F121" s="67">
        <v>0.37</v>
      </c>
      <c r="G121" s="78">
        <v>0.47</v>
      </c>
      <c r="H121" s="66">
        <v>25</v>
      </c>
      <c r="I121" s="67">
        <v>0.3</v>
      </c>
      <c r="J121" s="70">
        <v>0.39</v>
      </c>
      <c r="K121"/>
      <c r="L121"/>
      <c r="M121"/>
      <c r="N121"/>
      <c r="O121"/>
      <c r="R121" s="2"/>
      <c r="S121" s="2"/>
      <c r="T121" s="2"/>
    </row>
    <row r="122" spans="1:20" s="4" customFormat="1" x14ac:dyDescent="0.25">
      <c r="A122" s="2"/>
      <c r="B122" s="79">
        <v>8</v>
      </c>
      <c r="C122" s="67">
        <v>0.55000000000000004</v>
      </c>
      <c r="D122" s="69">
        <v>0.68</v>
      </c>
      <c r="E122" s="66">
        <v>17</v>
      </c>
      <c r="F122" s="67">
        <v>0.36</v>
      </c>
      <c r="G122" s="78">
        <v>0.46</v>
      </c>
      <c r="H122" s="66">
        <v>26</v>
      </c>
      <c r="I122" s="67">
        <v>0.3</v>
      </c>
      <c r="J122" s="70">
        <v>0.39</v>
      </c>
      <c r="K122"/>
      <c r="L122"/>
      <c r="M122"/>
      <c r="N122"/>
      <c r="O122"/>
      <c r="R122" s="2"/>
      <c r="S122" s="2"/>
      <c r="T122" s="2"/>
    </row>
    <row r="123" spans="1:20" s="4" customFormat="1" x14ac:dyDescent="0.25">
      <c r="A123" s="2"/>
      <c r="B123" s="66">
        <v>9</v>
      </c>
      <c r="C123" s="67">
        <v>0.51</v>
      </c>
      <c r="D123" s="69">
        <v>0.64</v>
      </c>
      <c r="E123" s="66">
        <v>18</v>
      </c>
      <c r="F123" s="67">
        <v>0.35</v>
      </c>
      <c r="G123" s="78">
        <v>0.45</v>
      </c>
      <c r="H123" s="66">
        <v>27</v>
      </c>
      <c r="I123" s="67">
        <v>0.3</v>
      </c>
      <c r="J123" s="70">
        <v>0.38</v>
      </c>
      <c r="K123"/>
      <c r="L123"/>
      <c r="M123"/>
      <c r="N123"/>
      <c r="O123"/>
      <c r="R123" s="2"/>
      <c r="S123" s="2"/>
      <c r="T123" s="2"/>
    </row>
    <row r="124" spans="1:20" s="4" customFormat="1" x14ac:dyDescent="0.25">
      <c r="A124" s="2"/>
      <c r="B124" s="66">
        <v>10</v>
      </c>
      <c r="C124" s="67">
        <v>0.48</v>
      </c>
      <c r="D124" s="69">
        <v>0.6</v>
      </c>
      <c r="E124" s="66">
        <v>19</v>
      </c>
      <c r="F124" s="67">
        <v>0.34</v>
      </c>
      <c r="G124" s="78">
        <v>0.44</v>
      </c>
      <c r="H124" s="66">
        <v>28</v>
      </c>
      <c r="I124" s="67">
        <v>0.28999999999999998</v>
      </c>
      <c r="J124" s="70">
        <v>0.38</v>
      </c>
      <c r="K124"/>
      <c r="L124"/>
      <c r="M124"/>
      <c r="N124"/>
      <c r="O124"/>
      <c r="R124" s="2"/>
      <c r="S124" s="2"/>
      <c r="T124" s="2"/>
    </row>
    <row r="125" spans="1:20" s="5" customFormat="1" x14ac:dyDescent="0.25">
      <c r="A125" s="2"/>
      <c r="B125" s="66">
        <v>11</v>
      </c>
      <c r="C125" s="67">
        <v>0.45</v>
      </c>
      <c r="D125" s="69">
        <v>0.56999999999999995</v>
      </c>
      <c r="E125" s="66">
        <v>20</v>
      </c>
      <c r="F125" s="67">
        <v>0.33</v>
      </c>
      <c r="G125" s="78">
        <v>0.43</v>
      </c>
      <c r="H125" s="66">
        <v>29</v>
      </c>
      <c r="I125" s="67">
        <v>0.28999999999999998</v>
      </c>
      <c r="J125" s="70">
        <v>0.37</v>
      </c>
      <c r="K125"/>
      <c r="L125"/>
      <c r="M125"/>
      <c r="N125"/>
      <c r="O125"/>
      <c r="P125" s="4"/>
      <c r="Q125" s="4"/>
      <c r="R125" s="2"/>
      <c r="S125" s="2"/>
      <c r="T125" s="2"/>
    </row>
    <row r="126" spans="1:20" s="5" customFormat="1" ht="15.75" thickBot="1" x14ac:dyDescent="0.3">
      <c r="A126" s="2"/>
      <c r="B126" s="72">
        <v>12</v>
      </c>
      <c r="C126" s="73">
        <v>0.43</v>
      </c>
      <c r="D126" s="75">
        <v>0.54</v>
      </c>
      <c r="E126" s="72">
        <v>21</v>
      </c>
      <c r="F126" s="73">
        <v>0.33</v>
      </c>
      <c r="G126" s="81">
        <v>0.42</v>
      </c>
      <c r="H126" s="72">
        <v>30</v>
      </c>
      <c r="I126" s="73">
        <v>0.28000000000000003</v>
      </c>
      <c r="J126" s="76">
        <v>0.37</v>
      </c>
      <c r="K126"/>
      <c r="L126"/>
      <c r="M126"/>
      <c r="N126"/>
      <c r="O126"/>
      <c r="P126" s="4"/>
      <c r="Q126" s="4"/>
      <c r="R126" s="2"/>
      <c r="S126" s="2"/>
      <c r="T126" s="2"/>
    </row>
    <row r="127" spans="1:20" s="5" customFormat="1" ht="15.75" thickTop="1" x14ac:dyDescent="0.25">
      <c r="A127" s="2"/>
      <c r="B127" s="55"/>
      <c r="C127" s="55"/>
      <c r="D127" s="55"/>
      <c r="E127" s="55"/>
      <c r="F127" s="55"/>
      <c r="G127" s="55"/>
      <c r="H127" s="55"/>
      <c r="I127" s="55"/>
      <c r="J127" s="56"/>
      <c r="K127"/>
      <c r="L127"/>
      <c r="M127"/>
      <c r="N127"/>
      <c r="O127"/>
      <c r="P127" s="4"/>
      <c r="Q127" s="4"/>
      <c r="R127" s="2"/>
      <c r="S127" s="2"/>
      <c r="T127" s="2"/>
    </row>
    <row r="128" spans="1:20" s="5" customFormat="1" x14ac:dyDescent="0.25">
      <c r="A128" s="2"/>
      <c r="B128" s="55" t="s">
        <v>92</v>
      </c>
      <c r="C128" s="55"/>
      <c r="D128" s="55"/>
      <c r="E128" s="55"/>
      <c r="F128" s="55"/>
      <c r="G128" s="55"/>
      <c r="H128" s="55"/>
      <c r="I128" s="55"/>
      <c r="J128" s="56"/>
      <c r="K128"/>
      <c r="L128"/>
      <c r="M128"/>
      <c r="N128"/>
      <c r="O128"/>
      <c r="P128" s="4"/>
      <c r="Q128" s="4"/>
      <c r="R128" s="2"/>
      <c r="S128" s="2"/>
      <c r="T128" s="2"/>
    </row>
    <row r="129" spans="1:20" s="5" customFormat="1" x14ac:dyDescent="0.25">
      <c r="A129" s="2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 s="4"/>
      <c r="Q129" s="4"/>
      <c r="R129" s="2"/>
      <c r="S129" s="2"/>
      <c r="T129" s="2"/>
    </row>
    <row r="130" spans="1:20" s="5" customFormat="1" x14ac:dyDescent="0.25">
      <c r="A130" s="2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 s="4"/>
      <c r="Q130" s="4"/>
      <c r="R130" s="2"/>
      <c r="S130" s="2"/>
      <c r="T130" s="2"/>
    </row>
    <row r="131" spans="1:20" s="5" customFormat="1" x14ac:dyDescent="0.25">
      <c r="A131" s="2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 s="4"/>
      <c r="Q131" s="4"/>
      <c r="R131" s="2"/>
      <c r="S131" s="2"/>
      <c r="T131" s="2"/>
    </row>
    <row r="132" spans="1:20" s="5" customFormat="1" x14ac:dyDescent="0.25">
      <c r="A132" s="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 s="4"/>
      <c r="Q132" s="4"/>
      <c r="R132" s="2"/>
      <c r="S132" s="2"/>
      <c r="T132" s="2"/>
    </row>
    <row r="133" spans="1:20" s="5" customFormat="1" x14ac:dyDescent="0.25">
      <c r="A133" s="2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 s="4"/>
      <c r="Q133" s="4"/>
      <c r="R133" s="2"/>
      <c r="S133" s="2"/>
      <c r="T133" s="2"/>
    </row>
    <row r="134" spans="1:20" s="5" customFormat="1" x14ac:dyDescent="0.25">
      <c r="A134" s="2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 s="4"/>
      <c r="Q134" s="4"/>
      <c r="R134" s="2"/>
      <c r="S134" s="2"/>
      <c r="T134" s="2"/>
    </row>
    <row r="135" spans="1:20" s="5" customFormat="1" x14ac:dyDescent="0.25">
      <c r="A135" s="2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 s="4"/>
      <c r="Q135" s="4"/>
      <c r="R135" s="2"/>
      <c r="S135" s="2"/>
      <c r="T135" s="2"/>
    </row>
    <row r="136" spans="1:20" s="5" customFormat="1" x14ac:dyDescent="0.25">
      <c r="A136" s="2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 s="4"/>
      <c r="Q136" s="4"/>
      <c r="R136" s="2"/>
      <c r="S136" s="2"/>
      <c r="T136" s="2"/>
    </row>
    <row r="137" spans="1:20" s="5" customFormat="1" x14ac:dyDescent="0.25">
      <c r="A137" s="2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 s="4"/>
      <c r="Q137" s="4"/>
      <c r="R137" s="2"/>
      <c r="S137" s="2"/>
      <c r="T137" s="2"/>
    </row>
    <row r="138" spans="1:20" s="5" customFormat="1" x14ac:dyDescent="0.25">
      <c r="A138" s="2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 s="4"/>
      <c r="Q138" s="4"/>
      <c r="R138" s="2"/>
      <c r="S138" s="2"/>
      <c r="T138" s="2"/>
    </row>
    <row r="139" spans="1:20" s="5" customFormat="1" x14ac:dyDescent="0.25">
      <c r="A139" s="2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 s="4"/>
      <c r="Q139" s="4"/>
      <c r="R139" s="2"/>
      <c r="S139" s="2"/>
      <c r="T139" s="2"/>
    </row>
    <row r="140" spans="1:20" s="5" customFormat="1" x14ac:dyDescent="0.25">
      <c r="A140" s="2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 s="4"/>
      <c r="Q140" s="4"/>
      <c r="R140" s="2"/>
      <c r="S140" s="2"/>
      <c r="T140" s="2"/>
    </row>
    <row r="141" spans="1:20" x14ac:dyDescent="0.2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20" x14ac:dyDescent="0.25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20" x14ac:dyDescent="0.25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20" x14ac:dyDescent="0.25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2:19" x14ac:dyDescent="0.25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2:19" x14ac:dyDescent="0.25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2:19" x14ac:dyDescent="0.25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2:19" x14ac:dyDescent="0.25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2:19" x14ac:dyDescent="0.25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2:19" x14ac:dyDescent="0.25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R150" s="80"/>
      <c r="S150" s="80"/>
    </row>
    <row r="151" spans="2:19" x14ac:dyDescent="0.25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R151" s="80"/>
      <c r="S151" s="80"/>
    </row>
    <row r="152" spans="2:19" x14ac:dyDescent="0.25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R152" s="80"/>
      <c r="S152" s="80"/>
    </row>
    <row r="153" spans="2:19" x14ac:dyDescent="0.25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R153" s="80"/>
      <c r="S153" s="80"/>
    </row>
    <row r="154" spans="2:19" x14ac:dyDescent="0.25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R154" s="80"/>
      <c r="S154" s="80"/>
    </row>
    <row r="155" spans="2:19" x14ac:dyDescent="0.25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72" spans="1:20" x14ac:dyDescent="0.25">
      <c r="K172" s="82"/>
    </row>
    <row r="173" spans="1:20" s="4" customFormat="1" x14ac:dyDescent="0.25">
      <c r="A173" s="2"/>
      <c r="B173" s="2"/>
      <c r="C173" s="2"/>
      <c r="D173" s="5"/>
      <c r="E173" s="2"/>
      <c r="F173" s="5"/>
      <c r="G173" s="2"/>
      <c r="H173" s="2"/>
      <c r="J173" s="5"/>
      <c r="K173" s="5"/>
      <c r="R173" s="2"/>
      <c r="S173" s="2"/>
      <c r="T173" s="2"/>
    </row>
    <row r="174" spans="1:20" s="4" customFormat="1" x14ac:dyDescent="0.25">
      <c r="A174" s="2"/>
      <c r="B174" s="2"/>
      <c r="C174" s="2"/>
      <c r="D174" s="5"/>
      <c r="E174" s="2"/>
      <c r="F174" s="5"/>
      <c r="G174" s="2"/>
      <c r="H174" s="2"/>
      <c r="J174" s="5"/>
      <c r="K174" s="5"/>
      <c r="R174" s="2"/>
      <c r="S174" s="2"/>
      <c r="T174" s="2"/>
    </row>
    <row r="175" spans="1:20" s="4" customFormat="1" x14ac:dyDescent="0.25">
      <c r="A175" s="2"/>
      <c r="B175" s="2"/>
      <c r="C175" s="2"/>
      <c r="D175" s="5"/>
      <c r="E175" s="2"/>
      <c r="F175" s="5"/>
      <c r="G175" s="2"/>
      <c r="H175" s="2"/>
      <c r="J175" s="5"/>
      <c r="K175" s="5"/>
      <c r="R175" s="2"/>
      <c r="S175" s="2"/>
      <c r="T175" s="2"/>
    </row>
    <row r="176" spans="1:20" s="4" customFormat="1" x14ac:dyDescent="0.25">
      <c r="A176" s="2"/>
      <c r="B176" s="2"/>
      <c r="C176" s="2"/>
      <c r="D176" s="5"/>
      <c r="E176" s="2"/>
      <c r="F176" s="5"/>
      <c r="G176" s="2"/>
      <c r="H176" s="2"/>
      <c r="J176" s="5"/>
      <c r="K176" s="5"/>
      <c r="R176" s="2"/>
      <c r="S176" s="2"/>
      <c r="T176" s="2"/>
    </row>
    <row r="177" spans="1:20" s="4" customFormat="1" x14ac:dyDescent="0.25">
      <c r="A177" s="2"/>
      <c r="B177" s="2"/>
      <c r="C177" s="2"/>
      <c r="D177" s="5"/>
      <c r="E177" s="2"/>
      <c r="F177" s="5"/>
      <c r="G177" s="2"/>
      <c r="H177" s="2"/>
      <c r="J177" s="5"/>
      <c r="K177" s="5"/>
      <c r="R177" s="2"/>
      <c r="S177" s="2"/>
      <c r="T177" s="2"/>
    </row>
    <row r="178" spans="1:20" s="4" customFormat="1" x14ac:dyDescent="0.25">
      <c r="A178" s="2"/>
      <c r="B178" s="2"/>
      <c r="C178" s="2"/>
      <c r="D178" s="5"/>
      <c r="E178" s="2"/>
      <c r="F178" s="5"/>
      <c r="G178" s="2"/>
      <c r="H178" s="2"/>
      <c r="J178" s="5"/>
      <c r="K178" s="5"/>
      <c r="R178" s="2"/>
      <c r="S178" s="2"/>
      <c r="T178" s="2"/>
    </row>
  </sheetData>
  <sortState xmlns:xlrd2="http://schemas.microsoft.com/office/spreadsheetml/2017/richdata2" ref="G62:G69">
    <sortCondition ref="G62:G69"/>
  </sortState>
  <mergeCells count="19">
    <mergeCell ref="B3:B4"/>
    <mergeCell ref="C3:C4"/>
    <mergeCell ref="G3:G4"/>
    <mergeCell ref="O3:O4"/>
    <mergeCell ref="R3:T3"/>
    <mergeCell ref="I116:J116"/>
    <mergeCell ref="B71:F71"/>
    <mergeCell ref="B60:G60"/>
    <mergeCell ref="B98:B99"/>
    <mergeCell ref="C98:D98"/>
    <mergeCell ref="E98:E99"/>
    <mergeCell ref="F98:G98"/>
    <mergeCell ref="H98:H99"/>
    <mergeCell ref="I98:J98"/>
    <mergeCell ref="B116:B117"/>
    <mergeCell ref="C116:D116"/>
    <mergeCell ref="E116:E117"/>
    <mergeCell ref="F116:G116"/>
    <mergeCell ref="H116:H117"/>
  </mergeCells>
  <pageMargins left="0.7" right="0.7" top="0.75" bottom="0.75" header="0.3" footer="0.3"/>
  <pageSetup paperSize="9" scale="24" orientation="landscape" r:id="rId1"/>
  <drawing r:id="rId2"/>
  <legacyDrawing r:id="rId3"/>
  <oleObjects>
    <mc:AlternateContent xmlns:mc="http://schemas.openxmlformats.org/markup-compatibility/2006">
      <mc:Choice Requires="x14">
        <oleObject progId="Prism8.Document" shapeId="2053" r:id="rId4">
          <objectPr defaultSize="0" r:id="rId5">
            <anchor moveWithCells="1">
              <from>
                <xdr:col>11</xdr:col>
                <xdr:colOff>314325</xdr:colOff>
                <xdr:row>14</xdr:row>
                <xdr:rowOff>19050</xdr:rowOff>
              </from>
              <to>
                <xdr:col>18</xdr:col>
                <xdr:colOff>314325</xdr:colOff>
                <xdr:row>31</xdr:row>
                <xdr:rowOff>19050</xdr:rowOff>
              </to>
            </anchor>
          </objectPr>
        </oleObject>
      </mc:Choice>
      <mc:Fallback>
        <oleObject progId="Prism8.Document" shapeId="2053" r:id="rId4"/>
      </mc:Fallback>
    </mc:AlternateContent>
    <mc:AlternateContent xmlns:mc="http://schemas.openxmlformats.org/markup-compatibility/2006">
      <mc:Choice Requires="x14">
        <oleObject progId="Prism8.Document" shapeId="2054" r:id="rId6">
          <objectPr defaultSize="0" r:id="rId7">
            <anchor moveWithCells="1">
              <from>
                <xdr:col>5</xdr:col>
                <xdr:colOff>9525</xdr:colOff>
                <xdr:row>14</xdr:row>
                <xdr:rowOff>9525</xdr:rowOff>
              </from>
              <to>
                <xdr:col>11</xdr:col>
                <xdr:colOff>95250</xdr:colOff>
                <xdr:row>31</xdr:row>
                <xdr:rowOff>38100</xdr:rowOff>
              </to>
            </anchor>
          </objectPr>
        </oleObject>
      </mc:Choice>
      <mc:Fallback>
        <oleObject progId="Prism8.Document" shapeId="2054" r:id="rId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66C4E-9A67-49E2-95EE-067CE90E4580}">
  <dimension ref="B1:V57"/>
  <sheetViews>
    <sheetView workbookViewId="0">
      <pane ySplit="1" topLeftCell="A2" activePane="bottomLeft" state="frozen"/>
      <selection pane="bottomLeft" activeCell="S51" sqref="S51"/>
    </sheetView>
  </sheetViews>
  <sheetFormatPr defaultRowHeight="15" x14ac:dyDescent="0.25"/>
  <cols>
    <col min="2" max="2" width="31.7109375" bestFit="1" customWidth="1"/>
    <col min="3" max="3" width="12.140625" style="135" customWidth="1"/>
    <col min="4" max="4" width="20.5703125" style="135" bestFit="1" customWidth="1"/>
    <col min="5" max="5" width="18.140625" style="135" bestFit="1" customWidth="1"/>
    <col min="6" max="6" width="14.85546875" style="135" bestFit="1" customWidth="1"/>
    <col min="7" max="8" width="13.85546875" style="135" bestFit="1" customWidth="1"/>
    <col min="9" max="9" width="14.7109375" style="135" customWidth="1"/>
    <col min="21" max="21" width="9.140625" style="134"/>
  </cols>
  <sheetData>
    <row r="1" spans="2:17" x14ac:dyDescent="0.25">
      <c r="B1" s="163"/>
      <c r="C1" s="164" t="s">
        <v>77</v>
      </c>
      <c r="D1" s="164" t="s">
        <v>78</v>
      </c>
      <c r="E1" s="164" t="s">
        <v>120</v>
      </c>
      <c r="F1" s="164" t="s">
        <v>124</v>
      </c>
      <c r="G1" s="164" t="s">
        <v>121</v>
      </c>
      <c r="H1" s="164" t="s">
        <v>122</v>
      </c>
      <c r="I1" s="165" t="s">
        <v>123</v>
      </c>
    </row>
    <row r="2" spans="2:17" x14ac:dyDescent="0.25">
      <c r="B2" s="136" t="s">
        <v>129</v>
      </c>
      <c r="C2" s="137"/>
      <c r="D2" s="137"/>
      <c r="E2" s="137"/>
      <c r="F2" s="137"/>
      <c r="G2" s="137"/>
      <c r="H2" s="137"/>
      <c r="I2" s="138"/>
    </row>
    <row r="3" spans="2:17" x14ac:dyDescent="0.25">
      <c r="B3" s="139" t="s">
        <v>128</v>
      </c>
      <c r="C3" s="140"/>
      <c r="D3" s="140"/>
      <c r="E3" s="140"/>
      <c r="F3" s="140"/>
      <c r="G3" s="140"/>
      <c r="H3" s="140"/>
      <c r="I3" s="141"/>
    </row>
    <row r="4" spans="2:17" x14ac:dyDescent="0.25">
      <c r="B4" s="139" t="s">
        <v>130</v>
      </c>
      <c r="C4" s="140">
        <v>0.96879999999999999</v>
      </c>
      <c r="D4" s="140">
        <v>0.99919999999999998</v>
      </c>
      <c r="E4" s="140">
        <v>0.90810000000000002</v>
      </c>
      <c r="F4" s="140">
        <v>0.95789999999999997</v>
      </c>
      <c r="G4" s="140">
        <v>0.94259999999999999</v>
      </c>
      <c r="H4" s="140">
        <v>0.95009999999999994</v>
      </c>
      <c r="I4" s="141">
        <v>0.8538</v>
      </c>
      <c r="K4" s="132"/>
      <c r="L4" s="131"/>
      <c r="M4" s="131"/>
      <c r="N4" s="131"/>
      <c r="O4" s="131"/>
      <c r="P4" s="131"/>
      <c r="Q4" s="131"/>
    </row>
    <row r="5" spans="2:17" x14ac:dyDescent="0.25">
      <c r="B5" s="139" t="s">
        <v>131</v>
      </c>
      <c r="C5" s="140">
        <v>0.88849999999999996</v>
      </c>
      <c r="D5" s="140">
        <v>0.94679999999999997</v>
      </c>
      <c r="E5" s="140">
        <v>0.34089999999999998</v>
      </c>
      <c r="F5" s="140">
        <v>0.79020000000000001</v>
      </c>
      <c r="G5" s="140">
        <v>0.63660000000000005</v>
      </c>
      <c r="H5" s="140">
        <v>0.71189999999999998</v>
      </c>
      <c r="I5" s="141">
        <v>0.1041</v>
      </c>
      <c r="K5" s="132"/>
      <c r="L5" s="131"/>
      <c r="M5" s="131"/>
      <c r="N5" s="131"/>
      <c r="O5" s="131"/>
      <c r="P5" s="131"/>
      <c r="Q5" s="131"/>
    </row>
    <row r="6" spans="2:17" x14ac:dyDescent="0.25">
      <c r="B6" s="139" t="s">
        <v>132</v>
      </c>
      <c r="C6" s="140" t="s">
        <v>133</v>
      </c>
      <c r="D6" s="140" t="s">
        <v>133</v>
      </c>
      <c r="E6" s="140" t="s">
        <v>133</v>
      </c>
      <c r="F6" s="140" t="s">
        <v>133</v>
      </c>
      <c r="G6" s="140" t="s">
        <v>133</v>
      </c>
      <c r="H6" s="140" t="s">
        <v>133</v>
      </c>
      <c r="I6" s="141" t="s">
        <v>133</v>
      </c>
      <c r="K6" s="132"/>
      <c r="L6" s="131"/>
      <c r="M6" s="131"/>
      <c r="N6" s="131"/>
      <c r="O6" s="131"/>
      <c r="P6" s="131"/>
      <c r="Q6" s="131"/>
    </row>
    <row r="7" spans="2:17" x14ac:dyDescent="0.25">
      <c r="B7" s="139" t="s">
        <v>134</v>
      </c>
      <c r="C7" s="140" t="s">
        <v>135</v>
      </c>
      <c r="D7" s="140" t="s">
        <v>135</v>
      </c>
      <c r="E7" s="140" t="s">
        <v>135</v>
      </c>
      <c r="F7" s="140" t="s">
        <v>135</v>
      </c>
      <c r="G7" s="140" t="s">
        <v>135</v>
      </c>
      <c r="H7" s="140" t="s">
        <v>135</v>
      </c>
      <c r="I7" s="141" t="s">
        <v>135</v>
      </c>
      <c r="K7" s="132"/>
      <c r="L7" s="131"/>
      <c r="M7" s="131"/>
      <c r="N7" s="131"/>
      <c r="O7" s="131"/>
      <c r="P7" s="131"/>
      <c r="Q7" s="131"/>
    </row>
    <row r="8" spans="2:17" x14ac:dyDescent="0.25">
      <c r="B8" s="139"/>
      <c r="C8" s="140"/>
      <c r="D8" s="140"/>
      <c r="E8" s="140"/>
      <c r="F8" s="140"/>
      <c r="G8" s="140"/>
      <c r="H8" s="140"/>
      <c r="I8" s="141"/>
      <c r="K8" s="132"/>
      <c r="L8" s="131"/>
      <c r="M8" s="131"/>
      <c r="N8" s="131"/>
      <c r="O8" s="131"/>
      <c r="P8" s="131"/>
      <c r="Q8" s="131"/>
    </row>
    <row r="9" spans="2:17" x14ac:dyDescent="0.25">
      <c r="B9" s="142" t="s">
        <v>136</v>
      </c>
      <c r="C9" s="140"/>
      <c r="D9" s="140"/>
      <c r="E9" s="140"/>
      <c r="F9" s="140"/>
      <c r="G9" s="140"/>
      <c r="H9" s="140"/>
      <c r="I9" s="141"/>
      <c r="K9" s="132"/>
      <c r="L9" s="131"/>
      <c r="M9" s="131"/>
      <c r="N9" s="131"/>
      <c r="O9" s="131"/>
      <c r="P9" s="131"/>
      <c r="Q9" s="131"/>
    </row>
    <row r="10" spans="2:17" x14ac:dyDescent="0.25">
      <c r="B10" s="139" t="s">
        <v>137</v>
      </c>
      <c r="C10" s="140">
        <v>0.14299999999999999</v>
      </c>
      <c r="D10" s="140" t="s">
        <v>138</v>
      </c>
      <c r="E10" s="140">
        <v>0.20300000000000001</v>
      </c>
      <c r="F10" s="140">
        <v>0.17449999999999999</v>
      </c>
      <c r="G10" s="140">
        <v>0.1726</v>
      </c>
      <c r="H10" s="140">
        <v>0.1787</v>
      </c>
      <c r="I10" s="141">
        <v>0.25130000000000002</v>
      </c>
      <c r="K10" s="132"/>
      <c r="L10" s="131"/>
      <c r="M10" s="131"/>
      <c r="N10" s="131"/>
      <c r="O10" s="131"/>
      <c r="P10" s="131"/>
      <c r="Q10" s="131"/>
    </row>
    <row r="11" spans="2:17" x14ac:dyDescent="0.25">
      <c r="B11" s="139" t="s">
        <v>131</v>
      </c>
      <c r="C11" s="140" t="s">
        <v>139</v>
      </c>
      <c r="D11" s="140"/>
      <c r="E11" s="140" t="s">
        <v>139</v>
      </c>
      <c r="F11" s="140" t="s">
        <v>139</v>
      </c>
      <c r="G11" s="140" t="s">
        <v>139</v>
      </c>
      <c r="H11" s="140" t="s">
        <v>139</v>
      </c>
      <c r="I11" s="141" t="s">
        <v>139</v>
      </c>
      <c r="K11" s="132"/>
      <c r="L11" s="131"/>
      <c r="M11" s="131"/>
      <c r="N11" s="131"/>
      <c r="O11" s="131"/>
      <c r="P11" s="131"/>
      <c r="Q11" s="131"/>
    </row>
    <row r="12" spans="2:17" x14ac:dyDescent="0.25">
      <c r="B12" s="139" t="s">
        <v>132</v>
      </c>
      <c r="C12" s="140" t="s">
        <v>133</v>
      </c>
      <c r="D12" s="140"/>
      <c r="E12" s="140" t="s">
        <v>133</v>
      </c>
      <c r="F12" s="140" t="s">
        <v>133</v>
      </c>
      <c r="G12" s="140" t="s">
        <v>133</v>
      </c>
      <c r="H12" s="140" t="s">
        <v>133</v>
      </c>
      <c r="I12" s="141" t="s">
        <v>133</v>
      </c>
      <c r="K12" s="132"/>
      <c r="L12" s="131"/>
      <c r="M12" s="131"/>
      <c r="N12" s="131"/>
      <c r="O12" s="131"/>
      <c r="P12" s="131"/>
      <c r="Q12" s="131"/>
    </row>
    <row r="13" spans="2:17" x14ac:dyDescent="0.25">
      <c r="B13" s="143" t="s">
        <v>134</v>
      </c>
      <c r="C13" s="144" t="s">
        <v>135</v>
      </c>
      <c r="D13" s="144"/>
      <c r="E13" s="144" t="s">
        <v>135</v>
      </c>
      <c r="F13" s="144" t="s">
        <v>135</v>
      </c>
      <c r="G13" s="144" t="s">
        <v>135</v>
      </c>
      <c r="H13" s="144" t="s">
        <v>135</v>
      </c>
      <c r="I13" s="145" t="s">
        <v>135</v>
      </c>
      <c r="K13" s="132"/>
      <c r="L13" s="131"/>
      <c r="M13" s="131"/>
      <c r="N13" s="131"/>
      <c r="O13" s="131"/>
      <c r="P13" s="131"/>
      <c r="Q13" s="131"/>
    </row>
    <row r="14" spans="2:17" x14ac:dyDescent="0.25">
      <c r="B14" s="146"/>
      <c r="C14" s="137"/>
      <c r="D14" s="137"/>
      <c r="E14" s="137"/>
      <c r="F14" s="137"/>
      <c r="G14" s="137"/>
      <c r="H14" s="137"/>
      <c r="I14" s="138"/>
      <c r="K14" s="132"/>
      <c r="L14" s="131"/>
      <c r="M14" s="131"/>
      <c r="N14" s="131"/>
      <c r="O14" s="131"/>
      <c r="P14" s="131"/>
      <c r="Q14" s="131"/>
    </row>
    <row r="15" spans="2:17" x14ac:dyDescent="0.25">
      <c r="B15" s="139" t="s">
        <v>140</v>
      </c>
      <c r="C15" s="140">
        <v>8</v>
      </c>
      <c r="D15" s="140">
        <v>3</v>
      </c>
      <c r="E15" s="140">
        <v>8</v>
      </c>
      <c r="F15" s="140">
        <v>8</v>
      </c>
      <c r="G15" s="140">
        <v>8</v>
      </c>
      <c r="H15" s="140">
        <v>8</v>
      </c>
      <c r="I15" s="141">
        <v>8</v>
      </c>
      <c r="K15" s="132"/>
      <c r="L15" s="131"/>
      <c r="M15" s="131"/>
      <c r="N15" s="131"/>
      <c r="O15" s="131"/>
      <c r="P15" s="131"/>
      <c r="Q15" s="131"/>
    </row>
    <row r="16" spans="2:17" x14ac:dyDescent="0.25">
      <c r="B16" s="147"/>
      <c r="I16" s="148"/>
      <c r="K16" s="132"/>
      <c r="L16" s="131"/>
      <c r="M16" s="131"/>
      <c r="N16" s="131"/>
      <c r="O16" s="131"/>
      <c r="P16" s="131"/>
    </row>
    <row r="17" spans="2:22" x14ac:dyDescent="0.25">
      <c r="B17" s="147"/>
      <c r="I17" s="148"/>
      <c r="K17" s="132"/>
      <c r="L17" s="131"/>
      <c r="M17" s="131"/>
      <c r="N17" s="131"/>
      <c r="O17" s="131"/>
      <c r="P17" s="131"/>
    </row>
    <row r="18" spans="2:22" x14ac:dyDescent="0.25">
      <c r="B18" s="142" t="s">
        <v>164</v>
      </c>
      <c r="I18" s="148"/>
      <c r="K18" s="133" t="s">
        <v>140</v>
      </c>
      <c r="L18" s="133" t="s">
        <v>141</v>
      </c>
      <c r="M18" s="133" t="s">
        <v>142</v>
      </c>
      <c r="N18" s="133" t="s">
        <v>60</v>
      </c>
      <c r="O18" s="133" t="s">
        <v>143</v>
      </c>
      <c r="P18" s="133" t="s">
        <v>144</v>
      </c>
      <c r="Q18" s="133" t="s">
        <v>145</v>
      </c>
      <c r="R18" s="133" t="s">
        <v>59</v>
      </c>
      <c r="S18" s="133" t="s">
        <v>150</v>
      </c>
      <c r="T18" s="133" t="s">
        <v>151</v>
      </c>
      <c r="U18" s="133" t="s">
        <v>74</v>
      </c>
      <c r="V18" s="133" t="s">
        <v>165</v>
      </c>
    </row>
    <row r="19" spans="2:22" x14ac:dyDescent="0.25">
      <c r="B19" s="139" t="s">
        <v>141</v>
      </c>
      <c r="C19" s="149">
        <v>146</v>
      </c>
      <c r="D19" s="149">
        <v>31.83</v>
      </c>
      <c r="E19" s="149">
        <v>43.08</v>
      </c>
      <c r="F19" s="149">
        <v>95.66</v>
      </c>
      <c r="G19" s="149">
        <v>175.2</v>
      </c>
      <c r="H19" s="149">
        <v>124.7</v>
      </c>
      <c r="I19" s="150">
        <v>57.78</v>
      </c>
      <c r="K19" s="133">
        <v>8</v>
      </c>
      <c r="L19" s="133">
        <v>146</v>
      </c>
      <c r="M19" s="133">
        <v>165.2</v>
      </c>
      <c r="N19" s="133">
        <v>207.8</v>
      </c>
      <c r="O19" s="133">
        <v>232.5</v>
      </c>
      <c r="P19" s="133">
        <v>279.5</v>
      </c>
      <c r="Q19" s="133">
        <v>133.5</v>
      </c>
      <c r="R19" s="133">
        <v>206.4</v>
      </c>
      <c r="S19" s="133">
        <v>43.16</v>
      </c>
      <c r="T19" s="133">
        <v>15.26</v>
      </c>
      <c r="U19" s="133">
        <v>0.16930000000000001</v>
      </c>
      <c r="V19" s="131">
        <v>5.0500000000000003E-2</v>
      </c>
    </row>
    <row r="20" spans="2:22" x14ac:dyDescent="0.25">
      <c r="B20" s="139" t="s">
        <v>142</v>
      </c>
      <c r="C20" s="149">
        <v>165.2</v>
      </c>
      <c r="D20" s="149">
        <v>31.83</v>
      </c>
      <c r="E20" s="149">
        <v>119.1</v>
      </c>
      <c r="F20" s="149">
        <v>158.80000000000001</v>
      </c>
      <c r="G20" s="149">
        <v>192.5</v>
      </c>
      <c r="H20" s="149">
        <v>171.7</v>
      </c>
      <c r="I20" s="150">
        <v>94.09</v>
      </c>
      <c r="K20" s="133">
        <v>3</v>
      </c>
      <c r="L20" s="133">
        <v>31.83</v>
      </c>
      <c r="M20" s="133">
        <v>31.83</v>
      </c>
      <c r="N20" s="133">
        <v>95.77</v>
      </c>
      <c r="O20" s="133">
        <v>153.80000000000001</v>
      </c>
      <c r="P20" s="133">
        <v>153.80000000000001</v>
      </c>
      <c r="Q20" s="133">
        <v>122</v>
      </c>
      <c r="R20" s="133">
        <v>93.81</v>
      </c>
      <c r="S20" s="133">
        <v>61.02</v>
      </c>
      <c r="T20" s="133">
        <v>35.229999999999997</v>
      </c>
    </row>
    <row r="21" spans="2:22" x14ac:dyDescent="0.25">
      <c r="B21" s="139" t="s">
        <v>60</v>
      </c>
      <c r="C21" s="149">
        <v>207.8</v>
      </c>
      <c r="D21" s="149">
        <v>95.77</v>
      </c>
      <c r="E21" s="149">
        <v>184.7</v>
      </c>
      <c r="F21" s="149">
        <v>204.2</v>
      </c>
      <c r="G21" s="149">
        <v>216.2</v>
      </c>
      <c r="H21" s="149">
        <v>191.3</v>
      </c>
      <c r="I21" s="150">
        <v>182.5</v>
      </c>
      <c r="K21" s="133">
        <v>8</v>
      </c>
      <c r="L21" s="133">
        <v>43.08</v>
      </c>
      <c r="M21" s="133">
        <v>119.1</v>
      </c>
      <c r="N21" s="133">
        <v>184.7</v>
      </c>
      <c r="O21" s="133">
        <v>266</v>
      </c>
      <c r="P21" s="133">
        <v>272.8</v>
      </c>
      <c r="Q21" s="133">
        <v>229.7</v>
      </c>
      <c r="R21" s="133">
        <v>185.5</v>
      </c>
      <c r="S21" s="133">
        <v>82.58</v>
      </c>
      <c r="T21" s="133">
        <v>29.2</v>
      </c>
    </row>
    <row r="22" spans="2:22" x14ac:dyDescent="0.25">
      <c r="B22" s="139" t="s">
        <v>143</v>
      </c>
      <c r="C22" s="149">
        <v>232.5</v>
      </c>
      <c r="D22" s="149">
        <v>153.80000000000001</v>
      </c>
      <c r="E22" s="149">
        <v>266</v>
      </c>
      <c r="F22" s="149">
        <v>228.9</v>
      </c>
      <c r="G22" s="149">
        <v>259.2</v>
      </c>
      <c r="H22" s="149">
        <v>244.7</v>
      </c>
      <c r="I22" s="150">
        <v>216.4</v>
      </c>
      <c r="K22" s="133">
        <v>8</v>
      </c>
      <c r="L22" s="133">
        <v>95.66</v>
      </c>
      <c r="M22" s="133">
        <v>158.80000000000001</v>
      </c>
      <c r="N22" s="133">
        <v>204.2</v>
      </c>
      <c r="O22" s="133">
        <v>228.9</v>
      </c>
      <c r="P22" s="133">
        <v>260.39999999999998</v>
      </c>
      <c r="Q22" s="133">
        <v>164.7</v>
      </c>
      <c r="R22" s="133">
        <v>192.8</v>
      </c>
      <c r="S22" s="133">
        <v>51.55</v>
      </c>
      <c r="T22" s="133">
        <v>18.23</v>
      </c>
    </row>
    <row r="23" spans="2:22" x14ac:dyDescent="0.25">
      <c r="B23" s="139" t="s">
        <v>144</v>
      </c>
      <c r="C23" s="149">
        <v>279.5</v>
      </c>
      <c r="D23" s="149">
        <v>153.80000000000001</v>
      </c>
      <c r="E23" s="149">
        <v>272.8</v>
      </c>
      <c r="F23" s="149">
        <v>260.39999999999998</v>
      </c>
      <c r="G23" s="149">
        <v>274.3</v>
      </c>
      <c r="H23" s="149">
        <v>256.39999999999998</v>
      </c>
      <c r="I23" s="150">
        <v>232.2</v>
      </c>
      <c r="K23" s="133">
        <v>8</v>
      </c>
      <c r="L23" s="133">
        <v>175.2</v>
      </c>
      <c r="M23" s="133">
        <v>192.5</v>
      </c>
      <c r="N23" s="133">
        <v>216.2</v>
      </c>
      <c r="O23" s="133">
        <v>259.2</v>
      </c>
      <c r="P23" s="133">
        <v>274.3</v>
      </c>
      <c r="Q23" s="133">
        <v>99.05</v>
      </c>
      <c r="R23" s="133">
        <v>222.6</v>
      </c>
      <c r="S23" s="133">
        <v>35.79</v>
      </c>
      <c r="T23" s="133">
        <v>12.65</v>
      </c>
    </row>
    <row r="24" spans="2:22" x14ac:dyDescent="0.25">
      <c r="B24" s="139" t="s">
        <v>145</v>
      </c>
      <c r="C24" s="149">
        <v>133.5</v>
      </c>
      <c r="D24" s="149">
        <v>122</v>
      </c>
      <c r="E24" s="149">
        <v>229.7</v>
      </c>
      <c r="F24" s="149">
        <v>164.7</v>
      </c>
      <c r="G24" s="149">
        <v>99.05</v>
      </c>
      <c r="H24" s="149">
        <v>131.69999999999999</v>
      </c>
      <c r="I24" s="150">
        <v>174.4</v>
      </c>
      <c r="K24" s="133">
        <v>8</v>
      </c>
      <c r="L24" s="133">
        <v>124.7</v>
      </c>
      <c r="M24" s="133">
        <v>171.7</v>
      </c>
      <c r="N24" s="133">
        <v>191.3</v>
      </c>
      <c r="O24" s="133">
        <v>244.7</v>
      </c>
      <c r="P24" s="133">
        <v>256.39999999999998</v>
      </c>
      <c r="Q24" s="133">
        <v>131.69999999999999</v>
      </c>
      <c r="R24" s="133">
        <v>198.9</v>
      </c>
      <c r="S24" s="133">
        <v>44.22</v>
      </c>
      <c r="T24" s="133">
        <v>15.63</v>
      </c>
    </row>
    <row r="25" spans="2:22" x14ac:dyDescent="0.25">
      <c r="B25" s="139"/>
      <c r="C25" s="149"/>
      <c r="D25" s="149"/>
      <c r="E25" s="149"/>
      <c r="F25" s="149"/>
      <c r="G25" s="149"/>
      <c r="H25" s="149"/>
      <c r="I25" s="150"/>
      <c r="K25" s="133">
        <v>8</v>
      </c>
      <c r="L25" s="133">
        <v>57.78</v>
      </c>
      <c r="M25" s="133">
        <v>94.09</v>
      </c>
      <c r="N25" s="133">
        <v>182.5</v>
      </c>
      <c r="O25" s="133">
        <v>216.4</v>
      </c>
      <c r="P25" s="133">
        <v>232.2</v>
      </c>
      <c r="Q25" s="133">
        <v>174.4</v>
      </c>
      <c r="R25" s="133">
        <v>164.4</v>
      </c>
      <c r="S25" s="133">
        <v>67.36</v>
      </c>
      <c r="T25" s="133">
        <v>23.82</v>
      </c>
    </row>
    <row r="26" spans="2:22" x14ac:dyDescent="0.25">
      <c r="B26" s="139" t="s">
        <v>146</v>
      </c>
      <c r="C26" s="149"/>
      <c r="D26" s="149"/>
      <c r="E26" s="149"/>
      <c r="F26" s="149"/>
      <c r="G26" s="149"/>
      <c r="H26" s="149"/>
      <c r="I26" s="150"/>
      <c r="K26" s="132"/>
      <c r="L26" s="131"/>
      <c r="M26" s="131"/>
      <c r="N26" s="131"/>
      <c r="O26" s="131"/>
      <c r="P26" s="131"/>
    </row>
    <row r="27" spans="2:22" x14ac:dyDescent="0.25">
      <c r="B27" s="139" t="s">
        <v>147</v>
      </c>
      <c r="C27" s="149" t="s">
        <v>148</v>
      </c>
      <c r="D27" s="149" t="s">
        <v>149</v>
      </c>
      <c r="E27" s="149" t="s">
        <v>148</v>
      </c>
      <c r="F27" s="149" t="s">
        <v>148</v>
      </c>
      <c r="G27" s="149" t="s">
        <v>148</v>
      </c>
      <c r="H27" s="149" t="s">
        <v>148</v>
      </c>
      <c r="I27" s="150" t="s">
        <v>148</v>
      </c>
      <c r="K27" s="132"/>
      <c r="L27" s="131"/>
      <c r="M27" s="131"/>
      <c r="N27" s="131"/>
      <c r="O27" s="131"/>
      <c r="P27" s="131"/>
    </row>
    <row r="28" spans="2:22" x14ac:dyDescent="0.25">
      <c r="B28" s="139"/>
      <c r="C28" s="149"/>
      <c r="D28" s="149"/>
      <c r="E28" s="149"/>
      <c r="F28" s="149"/>
      <c r="G28" s="149"/>
      <c r="H28" s="149"/>
      <c r="I28" s="150"/>
      <c r="K28" s="132"/>
      <c r="L28" s="131"/>
      <c r="M28" s="131"/>
      <c r="N28" s="131"/>
      <c r="O28" s="131"/>
      <c r="P28" s="131"/>
    </row>
    <row r="29" spans="2:22" x14ac:dyDescent="0.25">
      <c r="B29" s="139"/>
      <c r="C29" s="149"/>
      <c r="D29" s="149"/>
      <c r="E29" s="149"/>
      <c r="F29" s="149"/>
      <c r="G29" s="149"/>
      <c r="H29" s="149"/>
      <c r="I29" s="150"/>
      <c r="K29" s="132"/>
      <c r="L29" s="131"/>
      <c r="M29" s="131"/>
      <c r="N29" s="131"/>
      <c r="O29" s="131"/>
      <c r="P29" s="131"/>
    </row>
    <row r="30" spans="2:22" x14ac:dyDescent="0.25">
      <c r="B30" s="139"/>
      <c r="C30" s="149"/>
      <c r="D30" s="149"/>
      <c r="E30" s="149"/>
      <c r="F30" s="149"/>
      <c r="G30" s="149"/>
      <c r="H30" s="149"/>
      <c r="I30" s="150"/>
    </row>
    <row r="31" spans="2:22" x14ac:dyDescent="0.25">
      <c r="B31" s="139" t="s">
        <v>59</v>
      </c>
      <c r="C31" s="149">
        <v>206.4</v>
      </c>
      <c r="D31" s="149">
        <v>93.81</v>
      </c>
      <c r="E31" s="149">
        <v>185.5</v>
      </c>
      <c r="F31" s="149">
        <v>192.8</v>
      </c>
      <c r="G31" s="149">
        <v>222.6</v>
      </c>
      <c r="H31" s="149">
        <v>198.9</v>
      </c>
      <c r="I31" s="150">
        <v>164.4</v>
      </c>
    </row>
    <row r="32" spans="2:22" x14ac:dyDescent="0.25">
      <c r="B32" s="139" t="s">
        <v>150</v>
      </c>
      <c r="C32" s="149">
        <v>43.16</v>
      </c>
      <c r="D32" s="149">
        <v>61.02</v>
      </c>
      <c r="E32" s="149">
        <v>82.58</v>
      </c>
      <c r="F32" s="149">
        <v>51.55</v>
      </c>
      <c r="G32" s="149">
        <v>35.79</v>
      </c>
      <c r="H32" s="149">
        <v>44.22</v>
      </c>
      <c r="I32" s="150">
        <v>67.36</v>
      </c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3"/>
    </row>
    <row r="33" spans="2:21" x14ac:dyDescent="0.25">
      <c r="B33" s="139" t="s">
        <v>151</v>
      </c>
      <c r="C33" s="149">
        <v>15.26</v>
      </c>
      <c r="D33" s="149">
        <v>35.229999999999997</v>
      </c>
      <c r="E33" s="149">
        <v>29.2</v>
      </c>
      <c r="F33" s="149">
        <v>18.23</v>
      </c>
      <c r="G33" s="149">
        <v>12.65</v>
      </c>
      <c r="H33" s="149">
        <v>15.63</v>
      </c>
      <c r="I33" s="150">
        <v>23.82</v>
      </c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3"/>
    </row>
    <row r="34" spans="2:21" x14ac:dyDescent="0.25">
      <c r="B34" s="139"/>
      <c r="C34" s="149"/>
      <c r="D34" s="149"/>
      <c r="E34" s="149"/>
      <c r="F34" s="149"/>
      <c r="G34" s="149"/>
      <c r="H34" s="149"/>
      <c r="I34" s="150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3"/>
    </row>
    <row r="35" spans="2:21" x14ac:dyDescent="0.25">
      <c r="B35" s="139" t="s">
        <v>152</v>
      </c>
      <c r="C35" s="149">
        <v>170.3</v>
      </c>
      <c r="D35" s="149">
        <v>-57.77</v>
      </c>
      <c r="E35" s="149">
        <v>116.5</v>
      </c>
      <c r="F35" s="149">
        <v>149.69999999999999</v>
      </c>
      <c r="G35" s="149">
        <v>192.6</v>
      </c>
      <c r="H35" s="149">
        <v>161.9</v>
      </c>
      <c r="I35" s="150">
        <v>108.1</v>
      </c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3"/>
    </row>
    <row r="36" spans="2:21" x14ac:dyDescent="0.25">
      <c r="B36" s="143" t="s">
        <v>153</v>
      </c>
      <c r="C36" s="151">
        <v>242.4</v>
      </c>
      <c r="D36" s="151">
        <v>245.4</v>
      </c>
      <c r="E36" s="151">
        <v>254.6</v>
      </c>
      <c r="F36" s="151">
        <v>235.9</v>
      </c>
      <c r="G36" s="151">
        <v>252.5</v>
      </c>
      <c r="H36" s="151">
        <v>235.8</v>
      </c>
      <c r="I36" s="152">
        <v>220.7</v>
      </c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3"/>
    </row>
    <row r="37" spans="2:21" x14ac:dyDescent="0.25">
      <c r="B37" s="153"/>
      <c r="C37" s="154"/>
      <c r="D37" s="155"/>
      <c r="E37" s="161"/>
      <c r="F37" s="154"/>
      <c r="G37" s="154"/>
      <c r="H37" s="154"/>
      <c r="I37" s="155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3"/>
    </row>
    <row r="38" spans="2:21" x14ac:dyDescent="0.25">
      <c r="B38" s="142" t="s">
        <v>154</v>
      </c>
      <c r="C38" s="156"/>
      <c r="D38" s="157"/>
      <c r="E38" s="142" t="s">
        <v>166</v>
      </c>
      <c r="F38" s="131" t="s">
        <v>167</v>
      </c>
      <c r="G38"/>
      <c r="I38" s="148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3"/>
    </row>
    <row r="39" spans="2:21" x14ac:dyDescent="0.25">
      <c r="B39" s="139" t="s">
        <v>131</v>
      </c>
      <c r="C39" s="149">
        <v>0.16930000000000001</v>
      </c>
      <c r="D39" s="157"/>
      <c r="E39" s="162"/>
      <c r="F39" s="131"/>
      <c r="G39"/>
      <c r="I39" s="148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3"/>
    </row>
    <row r="40" spans="2:21" x14ac:dyDescent="0.25">
      <c r="B40" s="139" t="s">
        <v>155</v>
      </c>
      <c r="C40" s="149" t="s">
        <v>156</v>
      </c>
      <c r="D40" s="157"/>
      <c r="E40" s="162" t="s">
        <v>168</v>
      </c>
      <c r="F40" s="131" t="s">
        <v>120</v>
      </c>
      <c r="G40"/>
      <c r="I40" s="148"/>
    </row>
    <row r="41" spans="2:21" x14ac:dyDescent="0.25">
      <c r="B41" s="139" t="s">
        <v>134</v>
      </c>
      <c r="C41" s="149" t="s">
        <v>135</v>
      </c>
      <c r="D41" s="157"/>
      <c r="E41" s="162" t="s">
        <v>169</v>
      </c>
      <c r="F41" s="131" t="s">
        <v>170</v>
      </c>
      <c r="G41"/>
      <c r="I41" s="148"/>
    </row>
    <row r="42" spans="2:21" x14ac:dyDescent="0.25">
      <c r="B42" s="139" t="s">
        <v>157</v>
      </c>
      <c r="C42" s="149" t="s">
        <v>158</v>
      </c>
      <c r="D42" s="157"/>
      <c r="E42" s="162" t="s">
        <v>171</v>
      </c>
      <c r="F42" s="131" t="s">
        <v>77</v>
      </c>
      <c r="G42"/>
      <c r="I42" s="148"/>
    </row>
    <row r="43" spans="2:21" x14ac:dyDescent="0.25">
      <c r="B43" s="139" t="s">
        <v>159</v>
      </c>
      <c r="C43" s="149">
        <v>7</v>
      </c>
      <c r="D43" s="157"/>
      <c r="E43" s="162"/>
      <c r="F43" s="131"/>
      <c r="G43"/>
      <c r="I43" s="148"/>
    </row>
    <row r="44" spans="2:21" x14ac:dyDescent="0.25">
      <c r="B44" s="139" t="s">
        <v>160</v>
      </c>
      <c r="C44" s="149">
        <v>9.077</v>
      </c>
      <c r="D44" s="157"/>
      <c r="E44" s="142" t="s">
        <v>172</v>
      </c>
      <c r="F44" s="131"/>
      <c r="G44"/>
      <c r="I44" s="148"/>
    </row>
    <row r="45" spans="2:21" x14ac:dyDescent="0.25">
      <c r="B45" s="139"/>
      <c r="C45" s="149"/>
      <c r="D45" s="157"/>
      <c r="E45" s="162" t="s">
        <v>131</v>
      </c>
      <c r="F45" s="131">
        <v>0.64539999999999997</v>
      </c>
      <c r="G45"/>
      <c r="I45" s="148"/>
    </row>
    <row r="46" spans="2:21" x14ac:dyDescent="0.25">
      <c r="B46" s="142" t="s">
        <v>161</v>
      </c>
      <c r="C46" s="149"/>
      <c r="D46" s="157"/>
      <c r="E46" s="162" t="s">
        <v>155</v>
      </c>
      <c r="F46" s="131" t="s">
        <v>173</v>
      </c>
      <c r="G46"/>
      <c r="I46" s="148"/>
    </row>
    <row r="47" spans="2:21" x14ac:dyDescent="0.25">
      <c r="B47" s="139" t="s">
        <v>162</v>
      </c>
      <c r="C47" s="149">
        <v>7</v>
      </c>
      <c r="D47" s="157"/>
      <c r="E47" s="162" t="s">
        <v>134</v>
      </c>
      <c r="F47" s="131" t="s">
        <v>135</v>
      </c>
      <c r="G47"/>
      <c r="I47" s="148"/>
    </row>
    <row r="48" spans="2:21" x14ac:dyDescent="0.25">
      <c r="B48" s="139" t="s">
        <v>163</v>
      </c>
      <c r="C48" s="149">
        <v>51</v>
      </c>
      <c r="D48" s="157"/>
      <c r="E48" s="162" t="s">
        <v>174</v>
      </c>
      <c r="F48" s="131" t="s">
        <v>158</v>
      </c>
      <c r="G48"/>
      <c r="I48" s="148"/>
    </row>
    <row r="49" spans="2:9" x14ac:dyDescent="0.25">
      <c r="B49" s="147"/>
      <c r="D49" s="148"/>
      <c r="E49" s="162" t="s">
        <v>175</v>
      </c>
      <c r="F49" s="131" t="s">
        <v>176</v>
      </c>
      <c r="G49"/>
      <c r="I49" s="148"/>
    </row>
    <row r="50" spans="2:9" x14ac:dyDescent="0.25">
      <c r="B50" s="147"/>
      <c r="D50" s="148"/>
      <c r="E50" s="162" t="s">
        <v>177</v>
      </c>
      <c r="F50" s="131" t="s">
        <v>178</v>
      </c>
      <c r="G50"/>
      <c r="I50" s="148"/>
    </row>
    <row r="51" spans="2:9" x14ac:dyDescent="0.25">
      <c r="B51" s="147"/>
      <c r="D51" s="148"/>
      <c r="E51" s="162" t="s">
        <v>179</v>
      </c>
      <c r="F51" s="131">
        <v>27</v>
      </c>
      <c r="G51"/>
      <c r="I51" s="148"/>
    </row>
    <row r="52" spans="2:9" x14ac:dyDescent="0.25">
      <c r="B52" s="147"/>
      <c r="D52" s="148"/>
      <c r="E52" s="162"/>
      <c r="F52" s="131"/>
      <c r="G52"/>
      <c r="I52" s="148"/>
    </row>
    <row r="53" spans="2:9" x14ac:dyDescent="0.25">
      <c r="B53" s="147"/>
      <c r="D53" s="148"/>
      <c r="E53" s="142" t="s">
        <v>180</v>
      </c>
      <c r="F53" s="131"/>
      <c r="G53"/>
      <c r="I53" s="148"/>
    </row>
    <row r="54" spans="2:9" x14ac:dyDescent="0.25">
      <c r="B54" s="147"/>
      <c r="D54" s="148"/>
      <c r="E54" s="162" t="s">
        <v>181</v>
      </c>
      <c r="F54" s="131" t="s">
        <v>182</v>
      </c>
      <c r="G54"/>
      <c r="I54" s="148"/>
    </row>
    <row r="55" spans="2:9" x14ac:dyDescent="0.25">
      <c r="B55" s="147"/>
      <c r="D55" s="148"/>
      <c r="E55" s="162" t="s">
        <v>183</v>
      </c>
      <c r="F55" s="131" t="s">
        <v>184</v>
      </c>
      <c r="G55"/>
      <c r="I55" s="148"/>
    </row>
    <row r="56" spans="2:9" x14ac:dyDescent="0.25">
      <c r="B56" s="147"/>
      <c r="D56" s="148"/>
      <c r="E56" s="162" t="s">
        <v>185</v>
      </c>
      <c r="F56" s="131">
        <v>-23.07</v>
      </c>
      <c r="G56"/>
      <c r="I56" s="148"/>
    </row>
    <row r="57" spans="2:9" x14ac:dyDescent="0.25">
      <c r="B57" s="158"/>
      <c r="C57" s="159"/>
      <c r="D57" s="160"/>
      <c r="E57" s="166" t="s">
        <v>186</v>
      </c>
      <c r="F57" s="167">
        <v>-16.71</v>
      </c>
      <c r="G57" s="168"/>
      <c r="H57" s="159"/>
      <c r="I57" s="1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A059-9CBF-4BB3-B040-31960BBF153E}">
  <dimension ref="A1"/>
  <sheetViews>
    <sheetView workbookViewId="0">
      <selection activeCell="T19" sqref="T1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Дизайн</vt:lpstr>
      <vt:lpstr>Результаты stat npar</vt:lpstr>
      <vt:lpstr>Результаты prism</vt:lpstr>
      <vt:lpstr>Выводы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Gulnara Gaisina</dc:creator>
  <cp:lastModifiedBy>Irina Nikitina</cp:lastModifiedBy>
  <cp:lastPrinted>2026-04-15T07:37:52Z</cp:lastPrinted>
  <dcterms:created xsi:type="dcterms:W3CDTF">2026-04-05T14:42:37Z</dcterms:created>
  <dcterms:modified xsi:type="dcterms:W3CDTF">2026-04-20T08:22:18Z</dcterms:modified>
</cp:coreProperties>
</file>